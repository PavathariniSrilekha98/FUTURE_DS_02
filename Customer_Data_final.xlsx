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ivotTables/pivotTable7.xml" ContentType="application/vnd.openxmlformats-officedocument.spreadsheetml.pivotTab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ivotTables/pivotTable8.xml" ContentType="application/vnd.openxmlformats-officedocument.spreadsheetml.pivotTable+xml"/>
  <Override PartName="/xl/drawings/drawing9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PAVATHARINI\Downloads\"/>
    </mc:Choice>
  </mc:AlternateContent>
  <xr:revisionPtr revIDLastSave="0" documentId="8_{62455F31-C051-4FA6-88CA-B9B3977E02CD}" xr6:coauthVersionLast="47" xr6:coauthVersionMax="47" xr10:uidLastSave="{00000000-0000-0000-0000-000000000000}"/>
  <bookViews>
    <workbookView xWindow="-108" yWindow="-108" windowWidth="23256" windowHeight="12456" xr2:uid="{4D0C4E82-9FDE-49B5-A0DB-1BA226AECA05}"/>
  </bookViews>
  <sheets>
    <sheet name="Churn_Dashboard" sheetId="12" r:id="rId1"/>
    <sheet name="Customer_Data" sheetId="1" r:id="rId2"/>
    <sheet name="Churn_by_Plan" sheetId="2" state="hidden" r:id="rId3"/>
    <sheet name="Monthly_churn_Trend" sheetId="3" state="hidden" r:id="rId4"/>
    <sheet name="Churn_by_Payment" sheetId="4" state="hidden" r:id="rId5"/>
    <sheet name="Active_customers_trend" sheetId="5" state="hidden" r:id="rId6"/>
    <sheet name="Revenue_lost" sheetId="6" state="hidden" r:id="rId7"/>
    <sheet name="Revenue_by_Subscription_Plan" sheetId="7" state="hidden" r:id="rId8"/>
    <sheet name="Customer_Distribution_by_Plan" sheetId="8" state="hidden" r:id="rId9"/>
    <sheet name="Total_Customer_Status_Overview" sheetId="9" state="hidden" r:id="rId10"/>
  </sheets>
  <calcPr calcId="191029"/>
  <pivotCaches>
    <pivotCache cacheId="0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2" i="1" l="1"/>
  <c r="F59" i="1"/>
  <c r="F57" i="1"/>
  <c r="F54" i="1"/>
</calcChain>
</file>

<file path=xl/sharedStrings.xml><?xml version="1.0" encoding="utf-8"?>
<sst xmlns="http://schemas.openxmlformats.org/spreadsheetml/2006/main" count="338" uniqueCount="80">
  <si>
    <t>JoinMonth</t>
  </si>
  <si>
    <t>Plan</t>
  </si>
  <si>
    <t>PaymentMethod</t>
  </si>
  <si>
    <t>MonthlyCharges</t>
  </si>
  <si>
    <t>Status</t>
  </si>
  <si>
    <t>C001</t>
  </si>
  <si>
    <t>Jan</t>
  </si>
  <si>
    <t>Basic</t>
  </si>
  <si>
    <t>UPI</t>
  </si>
  <si>
    <t>Active</t>
  </si>
  <si>
    <t>C002</t>
  </si>
  <si>
    <t>Premium</t>
  </si>
  <si>
    <t>Credit Card</t>
  </si>
  <si>
    <t>Churned</t>
  </si>
  <si>
    <t>C003</t>
  </si>
  <si>
    <t>Standard</t>
  </si>
  <si>
    <t>Debit Card</t>
  </si>
  <si>
    <t>C004</t>
  </si>
  <si>
    <t>Feb</t>
  </si>
  <si>
    <t>Cash</t>
  </si>
  <si>
    <t>C005</t>
  </si>
  <si>
    <t>C006</t>
  </si>
  <si>
    <t>C007</t>
  </si>
  <si>
    <t>Mar</t>
  </si>
  <si>
    <t>C008</t>
  </si>
  <si>
    <t>C009</t>
  </si>
  <si>
    <t>C010</t>
  </si>
  <si>
    <t>Apr</t>
  </si>
  <si>
    <t>C011</t>
  </si>
  <si>
    <t>C012</t>
  </si>
  <si>
    <t>C013</t>
  </si>
  <si>
    <t>May</t>
  </si>
  <si>
    <t>C014</t>
  </si>
  <si>
    <t>C015</t>
  </si>
  <si>
    <t>C016</t>
  </si>
  <si>
    <t>Jun</t>
  </si>
  <si>
    <t>C017</t>
  </si>
  <si>
    <t>C018</t>
  </si>
  <si>
    <t>C019</t>
  </si>
  <si>
    <t>Jul</t>
  </si>
  <si>
    <t>C020</t>
  </si>
  <si>
    <t>C021</t>
  </si>
  <si>
    <t>C022</t>
  </si>
  <si>
    <t>Aug</t>
  </si>
  <si>
    <t>C023</t>
  </si>
  <si>
    <t>C024</t>
  </si>
  <si>
    <t>C025</t>
  </si>
  <si>
    <t>Sep</t>
  </si>
  <si>
    <t>C026</t>
  </si>
  <si>
    <t>C027</t>
  </si>
  <si>
    <t>C028</t>
  </si>
  <si>
    <t>Oct</t>
  </si>
  <si>
    <t>C029</t>
  </si>
  <si>
    <t>C030</t>
  </si>
  <si>
    <t>C031</t>
  </si>
  <si>
    <t>Nov</t>
  </si>
  <si>
    <t>C032</t>
  </si>
  <si>
    <t>C033</t>
  </si>
  <si>
    <t>C034</t>
  </si>
  <si>
    <t>Dec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</si>
  <si>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</si>
  <si>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</si>
  <si>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</si>
  <si>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</si>
  <si>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</si>
  <si>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</si>
  <si>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</si>
  <si>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</si>
  <si>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</si>
  <si>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</si>
  <si>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</si>
  <si>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</si>
  <si>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</si>
  <si>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</si>
  <si>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</si>
  <si>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</si>
  <si>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Row Labels</t>
  </si>
  <si>
    <t>Grand Total</t>
  </si>
  <si>
    <t>Count of CustomerID</t>
  </si>
  <si>
    <t>Sum of MonthlyCharges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</si>
</sst>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[Customer_Data_final.xlsx]Churn_by_Plan!PivotTable1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5"/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Churn by Subscription Plan</a:t>
            </a:r>
          </a:p>
        </c:rich>
      </c:tx>
      <c:layout>
        <c:manualLayout>
          <c:xMode val="edge"/>
          <c:yMode val="edge"/>
          <c:x val="0.16457219251336899"/>
          <c:y val="3.2291168006514902E-2"/>
        </c:manualLayout>
      </c:layout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5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>
              <a:lumMod val="20000"/>
              <a:lumOff val="80000"/>
            </a:schemeClr>
          </a:solidFill>
          <a:ln>
            <a:solidFill>
              <a:schemeClr val="accent5">
                <a:lumMod val="20000"/>
                <a:lumOff val="8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20000"/>
              <a:lumOff val="80000"/>
            </a:schemeClr>
          </a:solidFill>
          <a:ln>
            <a:solidFill>
              <a:schemeClr val="accent5">
                <a:lumMod val="20000"/>
                <a:lumOff val="80000"/>
              </a:schemeClr>
            </a:solidFill>
          </a:ln>
          <a:effectLst/>
        </c:spPr>
      </c:pivotFmt>
      <c:pivotFmt>
        <c:idx val="2"/>
        <c:spPr>
          <a:solidFill>
            <a:schemeClr val="accent6">
              <a:lumMod val="40000"/>
              <a:lumOff val="60000"/>
            </a:schemeClr>
          </a:solidFill>
          <a:ln>
            <a:solidFill>
              <a:schemeClr val="accent5">
                <a:lumMod val="20000"/>
                <a:lumOff val="80000"/>
              </a:schemeClr>
            </a:solidFill>
          </a:ln>
          <a:effectLst/>
        </c:spPr>
      </c:pivotFmt>
      <c:pivotFmt>
        <c:idx val="3"/>
        <c:spPr>
          <a:solidFill>
            <a:schemeClr val="accent5">
              <a:lumMod val="20000"/>
              <a:lumOff val="80000"/>
            </a:schemeClr>
          </a:solidFill>
          <a:ln>
            <a:solidFill>
              <a:schemeClr val="accent5">
                <a:lumMod val="20000"/>
                <a:lumOff val="8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lumMod val="20000"/>
              <a:lumOff val="80000"/>
            </a:schemeClr>
          </a:solidFill>
          <a:ln>
            <a:solidFill>
              <a:schemeClr val="accent5">
                <a:lumMod val="20000"/>
                <a:lumOff val="80000"/>
              </a:schemeClr>
            </a:solidFill>
          </a:ln>
          <a:effectLst/>
        </c:spPr>
      </c:pivotFmt>
      <c:pivotFmt>
        <c:idx val="5"/>
        <c:spPr>
          <a:solidFill>
            <a:schemeClr val="accent6">
              <a:lumMod val="40000"/>
              <a:lumOff val="60000"/>
            </a:schemeClr>
          </a:solidFill>
          <a:ln>
            <a:solidFill>
              <a:schemeClr val="accent5">
                <a:lumMod val="20000"/>
                <a:lumOff val="80000"/>
              </a:schemeClr>
            </a:solidFill>
          </a:ln>
          <a:effectLst/>
        </c:spPr>
      </c:pivotFmt>
      <c:pivotFmt>
        <c:idx val="6"/>
        <c:spPr>
          <a:solidFill>
            <a:schemeClr val="tx2"/>
          </a:solidFill>
          <a:ln>
            <a:solidFill>
              <a:schemeClr val="accent5">
                <a:lumMod val="20000"/>
                <a:lumOff val="8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65000"/>
            </a:schemeClr>
          </a:solidFill>
          <a:ln>
            <a:solidFill>
              <a:schemeClr val="accent5">
                <a:lumMod val="20000"/>
                <a:lumOff val="80000"/>
              </a:schemeClr>
            </a:solidFill>
          </a:ln>
          <a:effectLst/>
        </c:spPr>
      </c:pivotFmt>
      <c:pivotFmt>
        <c:idx val="8"/>
        <c:spPr>
          <a:solidFill>
            <a:schemeClr val="tx2"/>
          </a:solidFill>
          <a:ln>
            <a:solidFill>
              <a:schemeClr val="accent5">
                <a:lumMod val="20000"/>
                <a:lumOff val="80000"/>
              </a:schemeClr>
            </a:solidFill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Churn_by_Plan!$B$3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/>
            </a:solidFill>
            <a:ln>
              <a:solidFill>
                <a:schemeClr val="accent5">
                  <a:lumMod val="20000"/>
                  <a:lumOff val="80000"/>
                </a:schemeClr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>
                <a:solidFill>
                  <a:schemeClr val="accent5">
                    <a:lumMod val="20000"/>
                    <a:lumOff val="8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FEC-4CEB-90C2-6977AD36F6B6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/>
              </a:solidFill>
              <a:ln>
                <a:solidFill>
                  <a:schemeClr val="accent5">
                    <a:lumMod val="20000"/>
                    <a:lumOff val="8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FEC-4CEB-90C2-6977AD36F6B6}"/>
              </c:ext>
            </c:extLst>
          </c:dPt>
          <c:cat>
            <c:strRef>
              <c:f>Churn_by_Plan!$A$4:$A$6</c:f>
              <c:strCache>
                <c:ptCount val="2"/>
                <c:pt idx="0">
                  <c:v>Basic</c:v>
                </c:pt>
                <c:pt idx="1">
                  <c:v>Premium</c:v>
                </c:pt>
              </c:strCache>
            </c:strRef>
          </c:cat>
          <c:val>
            <c:numRef>
              <c:f>Churn_by_Plan!$B$4:$B$6</c:f>
              <c:numCache>
                <c:formatCode>General</c:formatCode>
                <c:ptCount val="2"/>
                <c:pt idx="0">
                  <c:v>16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FEC-4CEB-90C2-6977AD36F6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9614431"/>
        <c:axId val="619616351"/>
      </c:barChart>
      <c:catAx>
        <c:axId val="619614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616351"/>
        <c:crosses val="autoZero"/>
        <c:auto val="1"/>
        <c:lblAlgn val="ctr"/>
        <c:lblOffset val="100"/>
        <c:noMultiLvlLbl val="0"/>
      </c:catAx>
      <c:valAx>
        <c:axId val="619616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614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[Customer_Data_final.xlsx]Monthly_churn_Trend!PivotTable2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ysClr val="windowText" lastClr="000000"/>
                </a:solidFill>
              </a:rPr>
              <a:t>Monthly Churn Trend</a:t>
            </a:r>
            <a:endParaRPr lang="en-IN">
              <a:solidFill>
                <a:sysClr val="windowText" lastClr="000000"/>
              </a:solidFill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2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8038515534395411E-2"/>
          <c:y val="0.20448808006882954"/>
          <c:w val="0.77526062531657225"/>
          <c:h val="0.6238527118416766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Monthly_churn_Trend!$B$3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cat>
            <c:strRef>
              <c:f>Monthly_churn_Trend!$A$4:$A$16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Monthly_churn_Trend!$B$4:$B$16</c:f>
              <c:numCache>
                <c:formatCode>General</c:formatCode>
                <c:ptCount val="12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AA-4F01-87D4-B37FEFDE31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9634111"/>
        <c:axId val="619596671"/>
      </c:barChart>
      <c:catAx>
        <c:axId val="619634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596671"/>
        <c:crosses val="autoZero"/>
        <c:auto val="1"/>
        <c:lblAlgn val="ctr"/>
        <c:lblOffset val="100"/>
        <c:noMultiLvlLbl val="0"/>
      </c:catAx>
      <c:valAx>
        <c:axId val="619596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634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[Customer_Data_final.xlsx]Churn_by_Payment!PivotTable3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u="none" strike="noStrike" baseline="0">
                <a:solidFill>
                  <a:sysClr val="windowText" lastClr="000000"/>
                </a:solidFill>
              </a:rPr>
              <a:t>Churn by Payment Method</a:t>
            </a:r>
            <a:endParaRPr lang="en-US" sz="1800" b="1" i="0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13904509253939823"/>
          <c:y val="5.3834149109739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20000"/>
              <a:lumOff val="80000"/>
            </a:schemeClr>
          </a:solidFill>
          <a:ln>
            <a:solidFill>
              <a:schemeClr val="accent5">
                <a:lumMod val="40000"/>
                <a:lumOff val="6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20000"/>
              <a:lumOff val="80000"/>
            </a:schemeClr>
          </a:solidFill>
          <a:ln>
            <a:solidFill>
              <a:schemeClr val="accent5">
                <a:lumMod val="40000"/>
                <a:lumOff val="60000"/>
              </a:schemeClr>
            </a:solidFill>
          </a:ln>
          <a:effectLst/>
        </c:spPr>
      </c:pivotFmt>
      <c:pivotFmt>
        <c:idx val="2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accent4">
                <a:lumMod val="20000"/>
                <a:lumOff val="80000"/>
              </a:schemeClr>
            </a:solidFill>
          </a:ln>
          <a:effectLst/>
        </c:spPr>
      </c:pivotFmt>
      <c:pivotFmt>
        <c:idx val="3"/>
        <c:spPr>
          <a:solidFill>
            <a:schemeClr val="accent2">
              <a:lumMod val="20000"/>
              <a:lumOff val="80000"/>
            </a:schemeClr>
          </a:solidFill>
          <a:ln>
            <a:solidFill>
              <a:schemeClr val="accent5">
                <a:lumMod val="40000"/>
                <a:lumOff val="60000"/>
              </a:schemeClr>
            </a:solidFill>
          </a:ln>
          <a:effectLst/>
        </c:spPr>
      </c:pivotFmt>
      <c:pivotFmt>
        <c:idx val="4"/>
        <c:spPr>
          <a:solidFill>
            <a:schemeClr val="accent2">
              <a:lumMod val="20000"/>
              <a:lumOff val="80000"/>
            </a:schemeClr>
          </a:solidFill>
          <a:ln>
            <a:solidFill>
              <a:schemeClr val="accent5">
                <a:lumMod val="40000"/>
                <a:lumOff val="6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accent4">
                <a:lumMod val="20000"/>
                <a:lumOff val="80000"/>
              </a:schemeClr>
            </a:solidFill>
          </a:ln>
          <a:effectLst/>
        </c:spPr>
      </c:pivotFmt>
      <c:pivotFmt>
        <c:idx val="6"/>
        <c:spPr>
          <a:solidFill>
            <a:schemeClr val="accent5">
              <a:lumMod val="20000"/>
              <a:lumOff val="80000"/>
            </a:schemeClr>
          </a:solidFill>
          <a:ln>
            <a:solidFill>
              <a:schemeClr val="accent5">
                <a:lumMod val="40000"/>
                <a:lumOff val="60000"/>
              </a:schemeClr>
            </a:solidFill>
          </a:ln>
          <a:effectLst/>
        </c:spPr>
      </c:pivotFmt>
      <c:pivotFmt>
        <c:idx val="7"/>
        <c:spPr>
          <a:solidFill>
            <a:schemeClr val="tx2">
              <a:lumMod val="25000"/>
              <a:lumOff val="75000"/>
            </a:schemeClr>
          </a:solidFill>
          <a:ln>
            <a:solidFill>
              <a:schemeClr val="bg1">
                <a:lumMod val="9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>
                <a:lumMod val="95000"/>
              </a:schemeClr>
            </a:solidFill>
          </a:ln>
          <a:effectLst/>
        </c:spPr>
      </c:pivotFmt>
      <c:pivotFmt>
        <c:idx val="9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>
                <a:lumMod val="95000"/>
              </a:schemeClr>
            </a:solidFill>
          </a:ln>
          <a:effectLst/>
        </c:spPr>
      </c:pivotFmt>
      <c:pivotFmt>
        <c:idx val="10"/>
        <c:spPr>
          <a:solidFill>
            <a:schemeClr val="bg1">
              <a:lumMod val="85000"/>
            </a:schemeClr>
          </a:solidFill>
          <a:ln>
            <a:solidFill>
              <a:schemeClr val="bg1">
                <a:lumMod val="95000"/>
              </a:schemeClr>
            </a:solidFill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Churn_by_Payment!$B$3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25000"/>
                <a:lumOff val="75000"/>
              </a:schemeClr>
            </a:solidFill>
            <a:ln>
              <a:solidFill>
                <a:schemeClr val="bg1">
                  <a:lumMod val="95000"/>
                </a:schemeClr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  <a:ln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07B-48EE-A8AA-9734CAA0AA6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07B-48EE-A8AA-9734CAA0AA6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07B-48EE-A8AA-9734CAA0AA6C}"/>
              </c:ext>
            </c:extLst>
          </c:dPt>
          <c:cat>
            <c:strRef>
              <c:f>Churn_by_Payment!$A$4:$A$7</c:f>
              <c:strCache>
                <c:ptCount val="3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</c:strCache>
            </c:strRef>
          </c:cat>
          <c:val>
            <c:numRef>
              <c:f>Churn_by_Payment!$B$4:$B$7</c:f>
              <c:numCache>
                <c:formatCode>General</c:formatCode>
                <c:ptCount val="3"/>
                <c:pt idx="0">
                  <c:v>7</c:v>
                </c:pt>
                <c:pt idx="1">
                  <c:v>4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07B-48EE-A8AA-9734CAA0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2033183"/>
        <c:axId val="642033663"/>
      </c:barChart>
      <c:catAx>
        <c:axId val="642033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033663"/>
        <c:crosses val="autoZero"/>
        <c:auto val="1"/>
        <c:lblAlgn val="ctr"/>
        <c:lblOffset val="100"/>
        <c:noMultiLvlLbl val="0"/>
      </c:catAx>
      <c:valAx>
        <c:axId val="642033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033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[Customer_Data_final.xlsx]Active_customers_trend!PivotTable4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ysClr val="windowText" lastClr="000000"/>
                </a:solidFill>
              </a:rPr>
              <a:t>Active Customers Trend</a:t>
            </a:r>
            <a:endParaRPr lang="en-IN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18656636670416199"/>
          <c:y val="2.58960086885691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tx2">
              <a:lumMod val="10000"/>
              <a:lumOff val="9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>
              <a:lumMod val="10000"/>
              <a:lumOff val="90000"/>
            </a:schemeClr>
          </a:solidFill>
          <a:ln>
            <a:solidFill>
              <a:schemeClr val="accent3">
                <a:lumMod val="20000"/>
                <a:lumOff val="80000"/>
              </a:schemeClr>
            </a:solidFill>
          </a:ln>
          <a:effectLst/>
        </c:spPr>
      </c:pivotFmt>
      <c:pivotFmt>
        <c:idx val="2"/>
        <c:spPr>
          <a:solidFill>
            <a:schemeClr val="tx2">
              <a:lumMod val="10000"/>
              <a:lumOff val="90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tx2">
              <a:lumMod val="10000"/>
              <a:lumOff val="9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tx2">
              <a:lumMod val="10000"/>
              <a:lumOff val="90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tx2">
              <a:lumMod val="10000"/>
              <a:lumOff val="9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tx2">
              <a:lumMod val="10000"/>
              <a:lumOff val="90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tx2">
              <a:lumMod val="10000"/>
              <a:lumOff val="9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tx2">
              <a:lumMod val="10000"/>
              <a:lumOff val="90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tx2">
              <a:lumMod val="10000"/>
              <a:lumOff val="90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tx2">
              <a:lumMod val="10000"/>
              <a:lumOff val="90000"/>
            </a:schemeClr>
          </a:solidFill>
          <a:ln>
            <a:noFill/>
          </a:ln>
          <a:effectLst/>
        </c:spPr>
      </c:pivotFmt>
      <c:pivotFmt>
        <c:idx val="11"/>
        <c:spPr>
          <a:solidFill>
            <a:schemeClr val="tx2">
              <a:lumMod val="10000"/>
              <a:lumOff val="90000"/>
            </a:schemeClr>
          </a:solidFill>
          <a:ln>
            <a:noFill/>
          </a:ln>
          <a:effectLst/>
        </c:spPr>
      </c:pivotFmt>
      <c:pivotFmt>
        <c:idx val="12"/>
        <c:spPr>
          <a:solidFill>
            <a:schemeClr val="tx2">
              <a:lumMod val="10000"/>
              <a:lumOff val="9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tx2">
              <a:lumMod val="10000"/>
              <a:lumOff val="90000"/>
            </a:schemeClr>
          </a:solidFill>
          <a:ln>
            <a:noFill/>
          </a:ln>
          <a:effectLst/>
        </c:spPr>
      </c:pivotFmt>
      <c:pivotFmt>
        <c:idx val="14"/>
        <c:spPr>
          <a:solidFill>
            <a:schemeClr val="tx2">
              <a:lumMod val="10000"/>
              <a:lumOff val="90000"/>
            </a:schemeClr>
          </a:solidFill>
          <a:ln>
            <a:solidFill>
              <a:schemeClr val="accent3">
                <a:lumMod val="20000"/>
                <a:lumOff val="80000"/>
              </a:schemeClr>
            </a:solidFill>
          </a:ln>
          <a:effectLst/>
        </c:spPr>
      </c:pivotFmt>
      <c:pivotFmt>
        <c:idx val="15"/>
        <c:spPr>
          <a:solidFill>
            <a:schemeClr val="tx2">
              <a:lumMod val="10000"/>
              <a:lumOff val="90000"/>
            </a:schemeClr>
          </a:solidFill>
          <a:ln>
            <a:noFill/>
          </a:ln>
          <a:effectLst/>
        </c:spPr>
      </c:pivotFmt>
      <c:pivotFmt>
        <c:idx val="16"/>
        <c:spPr>
          <a:solidFill>
            <a:schemeClr val="tx2">
              <a:lumMod val="10000"/>
              <a:lumOff val="90000"/>
            </a:schemeClr>
          </a:solidFill>
          <a:ln>
            <a:noFill/>
          </a:ln>
          <a:effectLst/>
        </c:spPr>
      </c:pivotFmt>
      <c:pivotFmt>
        <c:idx val="17"/>
        <c:spPr>
          <a:solidFill>
            <a:schemeClr val="tx2">
              <a:lumMod val="10000"/>
              <a:lumOff val="90000"/>
            </a:schemeClr>
          </a:solidFill>
          <a:ln>
            <a:noFill/>
          </a:ln>
          <a:effectLst/>
        </c:spPr>
      </c:pivotFmt>
      <c:pivotFmt>
        <c:idx val="18"/>
        <c:spPr>
          <a:solidFill>
            <a:schemeClr val="tx2">
              <a:lumMod val="10000"/>
              <a:lumOff val="90000"/>
            </a:schemeClr>
          </a:solidFill>
          <a:ln>
            <a:noFill/>
          </a:ln>
          <a:effectLst/>
        </c:spPr>
      </c:pivotFmt>
      <c:pivotFmt>
        <c:idx val="19"/>
        <c:spPr>
          <a:solidFill>
            <a:schemeClr val="tx2">
              <a:lumMod val="10000"/>
              <a:lumOff val="90000"/>
            </a:schemeClr>
          </a:solidFill>
          <a:ln>
            <a:noFill/>
          </a:ln>
          <a:effectLst/>
        </c:spPr>
      </c:pivotFmt>
      <c:pivotFmt>
        <c:idx val="20"/>
        <c:spPr>
          <a:solidFill>
            <a:schemeClr val="tx2">
              <a:lumMod val="10000"/>
              <a:lumOff val="90000"/>
            </a:schemeClr>
          </a:solidFill>
          <a:ln>
            <a:noFill/>
          </a:ln>
          <a:effectLst/>
        </c:spPr>
      </c:pivotFmt>
      <c:pivotFmt>
        <c:idx val="21"/>
        <c:spPr>
          <a:solidFill>
            <a:schemeClr val="tx2">
              <a:lumMod val="10000"/>
              <a:lumOff val="90000"/>
            </a:schemeClr>
          </a:solidFill>
          <a:ln>
            <a:noFill/>
          </a:ln>
          <a:effectLst/>
        </c:spPr>
      </c:pivotFmt>
      <c:pivotFmt>
        <c:idx val="22"/>
        <c:spPr>
          <a:solidFill>
            <a:schemeClr val="tx2">
              <a:lumMod val="10000"/>
              <a:lumOff val="90000"/>
            </a:schemeClr>
          </a:solidFill>
          <a:ln>
            <a:noFill/>
          </a:ln>
          <a:effectLst/>
        </c:spPr>
      </c:pivotFmt>
      <c:pivotFmt>
        <c:idx val="23"/>
        <c:spPr>
          <a:solidFill>
            <a:schemeClr val="tx2">
              <a:lumMod val="10000"/>
              <a:lumOff val="90000"/>
            </a:schemeClr>
          </a:solidFill>
          <a:ln>
            <a:noFill/>
          </a:ln>
          <a:effectLst/>
        </c:spPr>
      </c:pivotFmt>
      <c:pivotFmt>
        <c:idx val="24"/>
        <c:spPr>
          <a:solidFill>
            <a:schemeClr val="tx2">
              <a:lumMod val="90000"/>
              <a:lumOff val="1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tx2">
              <a:lumMod val="90000"/>
              <a:lumOff val="10000"/>
            </a:schemeClr>
          </a:solidFill>
          <a:ln>
            <a:noFill/>
          </a:ln>
          <a:effectLst/>
        </c:spPr>
      </c:pivotFmt>
      <c:pivotFmt>
        <c:idx val="26"/>
        <c:spPr>
          <a:solidFill>
            <a:schemeClr val="tx2">
              <a:lumMod val="90000"/>
              <a:lumOff val="10000"/>
            </a:schemeClr>
          </a:solidFill>
          <a:ln>
            <a:solidFill>
              <a:schemeClr val="accent3">
                <a:lumMod val="20000"/>
                <a:lumOff val="80000"/>
              </a:schemeClr>
            </a:solidFill>
          </a:ln>
          <a:effectLst/>
        </c:spPr>
      </c:pivotFmt>
      <c:pivotFmt>
        <c:idx val="27"/>
        <c:spPr>
          <a:solidFill>
            <a:schemeClr val="tx2">
              <a:lumMod val="90000"/>
              <a:lumOff val="10000"/>
            </a:schemeClr>
          </a:solidFill>
          <a:ln>
            <a:noFill/>
          </a:ln>
          <a:effectLst/>
        </c:spPr>
      </c:pivotFmt>
      <c:pivotFmt>
        <c:idx val="28"/>
        <c:spPr>
          <a:solidFill>
            <a:schemeClr val="tx2">
              <a:lumMod val="90000"/>
              <a:lumOff val="10000"/>
            </a:schemeClr>
          </a:solidFill>
          <a:ln>
            <a:noFill/>
          </a:ln>
          <a:effectLst/>
        </c:spPr>
      </c:pivotFmt>
      <c:pivotFmt>
        <c:idx val="29"/>
        <c:spPr>
          <a:solidFill>
            <a:schemeClr val="tx2">
              <a:lumMod val="90000"/>
              <a:lumOff val="10000"/>
            </a:schemeClr>
          </a:solidFill>
          <a:ln>
            <a:noFill/>
          </a:ln>
          <a:effectLst/>
        </c:spPr>
      </c:pivotFmt>
      <c:pivotFmt>
        <c:idx val="30"/>
        <c:spPr>
          <a:solidFill>
            <a:schemeClr val="tx2">
              <a:lumMod val="90000"/>
              <a:lumOff val="10000"/>
            </a:schemeClr>
          </a:solidFill>
          <a:ln>
            <a:noFill/>
          </a:ln>
          <a:effectLst/>
        </c:spPr>
      </c:pivotFmt>
      <c:pivotFmt>
        <c:idx val="31"/>
        <c:spPr>
          <a:solidFill>
            <a:schemeClr val="tx2">
              <a:lumMod val="90000"/>
              <a:lumOff val="10000"/>
            </a:schemeClr>
          </a:solidFill>
          <a:ln>
            <a:noFill/>
          </a:ln>
          <a:effectLst/>
        </c:spPr>
      </c:pivotFmt>
      <c:pivotFmt>
        <c:idx val="32"/>
        <c:spPr>
          <a:solidFill>
            <a:schemeClr val="tx2">
              <a:lumMod val="90000"/>
              <a:lumOff val="10000"/>
            </a:schemeClr>
          </a:solidFill>
          <a:ln>
            <a:noFill/>
          </a:ln>
          <a:effectLst/>
        </c:spPr>
      </c:pivotFmt>
      <c:pivotFmt>
        <c:idx val="33"/>
        <c:spPr>
          <a:solidFill>
            <a:schemeClr val="tx2">
              <a:lumMod val="90000"/>
              <a:lumOff val="10000"/>
            </a:schemeClr>
          </a:solidFill>
          <a:ln>
            <a:noFill/>
          </a:ln>
          <a:effectLst/>
        </c:spPr>
      </c:pivotFmt>
      <c:pivotFmt>
        <c:idx val="34"/>
        <c:spPr>
          <a:solidFill>
            <a:schemeClr val="tx2">
              <a:lumMod val="90000"/>
              <a:lumOff val="10000"/>
            </a:schemeClr>
          </a:solidFill>
          <a:ln>
            <a:noFill/>
          </a:ln>
          <a:effectLst/>
        </c:spPr>
      </c:pivotFmt>
      <c:pivotFmt>
        <c:idx val="35"/>
        <c:spPr>
          <a:solidFill>
            <a:schemeClr val="tx2">
              <a:lumMod val="90000"/>
              <a:lumOff val="10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5.3563838346845132E-2"/>
          <c:y val="0.17427149854299712"/>
          <c:w val="0.79509514435695539"/>
          <c:h val="0.721258019830854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Active_customers_trend!$B$3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90000"/>
                <a:lumOff val="1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F48-4833-A2E0-00F079BC97B5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solidFill>
                  <a:schemeClr val="accent3">
                    <a:lumMod val="20000"/>
                    <a:lumOff val="8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F48-4833-A2E0-00F079BC97B5}"/>
              </c:ext>
            </c:extLst>
          </c:dPt>
          <c:dPt>
            <c:idx val="3"/>
            <c:invertIfNegative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F48-4833-A2E0-00F079BC97B5}"/>
              </c:ext>
            </c:extLst>
          </c:dPt>
          <c:dPt>
            <c:idx val="4"/>
            <c:invertIfNegative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F48-4833-A2E0-00F079BC97B5}"/>
              </c:ext>
            </c:extLst>
          </c:dPt>
          <c:dPt>
            <c:idx val="5"/>
            <c:invertIfNegative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F48-4833-A2E0-00F079BC97B5}"/>
              </c:ext>
            </c:extLst>
          </c:dPt>
          <c:dPt>
            <c:idx val="6"/>
            <c:invertIfNegative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2F48-4833-A2E0-00F079BC97B5}"/>
              </c:ext>
            </c:extLst>
          </c:dPt>
          <c:dPt>
            <c:idx val="7"/>
            <c:invertIfNegative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2F48-4833-A2E0-00F079BC97B5}"/>
              </c:ext>
            </c:extLst>
          </c:dPt>
          <c:dPt>
            <c:idx val="8"/>
            <c:invertIfNegative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2F48-4833-A2E0-00F079BC97B5}"/>
              </c:ext>
            </c:extLst>
          </c:dPt>
          <c:dPt>
            <c:idx val="9"/>
            <c:invertIfNegative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2F48-4833-A2E0-00F079BC97B5}"/>
              </c:ext>
            </c:extLst>
          </c:dPt>
          <c:dPt>
            <c:idx val="10"/>
            <c:invertIfNegative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2F48-4833-A2E0-00F079BC97B5}"/>
              </c:ext>
            </c:extLst>
          </c:dPt>
          <c:dPt>
            <c:idx val="11"/>
            <c:invertIfNegative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2F48-4833-A2E0-00F079BC97B5}"/>
              </c:ext>
            </c:extLst>
          </c:dPt>
          <c:cat>
            <c:strRef>
              <c:f>Active_customers_trend!$A$4:$A$16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Active_customers_trend!$B$4:$B$16</c:f>
              <c:numCache>
                <c:formatCode>General</c:formatCode>
                <c:ptCount val="12"/>
                <c:pt idx="0">
                  <c:v>2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  <c:pt idx="10">
                  <c:v>3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2F48-4833-A2E0-00F079BC97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8988207"/>
        <c:axId val="668997327"/>
      </c:barChart>
      <c:catAx>
        <c:axId val="668988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997327"/>
        <c:crosses val="autoZero"/>
        <c:auto val="1"/>
        <c:lblAlgn val="ctr"/>
        <c:lblOffset val="100"/>
        <c:noMultiLvlLbl val="0"/>
      </c:catAx>
      <c:valAx>
        <c:axId val="668997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988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[Customer_Data_final.xlsx]Revenue_lost!PivotTable1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Revenue Lost Due to Churn</a:t>
            </a:r>
            <a:endParaRPr lang="en-IN" b="1">
              <a:solidFill>
                <a:schemeClr val="tx1">
                  <a:lumMod val="95000"/>
                  <a:lumOff val="5000"/>
                </a:schemeClr>
              </a:solidFill>
            </a:endParaRPr>
          </a:p>
        </c:rich>
      </c:tx>
      <c:layout>
        <c:manualLayout>
          <c:xMode val="edge"/>
          <c:yMode val="edge"/>
          <c:x val="0.12115819337611698"/>
          <c:y val="3.9084310441094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tx2">
              <a:lumMod val="10000"/>
              <a:lumOff val="9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>
              <a:lumMod val="10000"/>
              <a:lumOff val="9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70C0"/>
          </a:solidFill>
          <a:ln>
            <a:solidFill>
              <a:schemeClr val="accent1">
                <a:lumMod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70C0"/>
          </a:solidFill>
          <a:ln>
            <a:solidFill>
              <a:schemeClr val="accent1">
                <a:lumMod val="50000"/>
              </a:schemeClr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6442393625527993"/>
          <c:y val="0.17273902959222182"/>
          <c:w val="0.7886012087105827"/>
          <c:h val="0.699041719138904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Revenue_lost!$B$3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70C0"/>
            </a:solidFill>
            <a:ln>
              <a:solidFill>
                <a:schemeClr val="accent1">
                  <a:lumMod val="50000"/>
                </a:schemeClr>
              </a:solidFill>
            </a:ln>
            <a:effectLst/>
          </c:spPr>
          <c:invertIfNegative val="0"/>
          <c:cat>
            <c:strRef>
              <c:f>Revenue_lost!$A$4:$A$16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Revenue_lost!$B$4:$B$16</c:f>
              <c:numCache>
                <c:formatCode>General</c:formatCode>
                <c:ptCount val="12"/>
                <c:pt idx="0">
                  <c:v>1900</c:v>
                </c:pt>
                <c:pt idx="1">
                  <c:v>500</c:v>
                </c:pt>
                <c:pt idx="2">
                  <c:v>500</c:v>
                </c:pt>
                <c:pt idx="3">
                  <c:v>1000</c:v>
                </c:pt>
                <c:pt idx="4">
                  <c:v>500</c:v>
                </c:pt>
                <c:pt idx="5">
                  <c:v>500</c:v>
                </c:pt>
                <c:pt idx="6">
                  <c:v>1000</c:v>
                </c:pt>
                <c:pt idx="7">
                  <c:v>500</c:v>
                </c:pt>
                <c:pt idx="8">
                  <c:v>500</c:v>
                </c:pt>
                <c:pt idx="9">
                  <c:v>1000</c:v>
                </c:pt>
                <c:pt idx="10">
                  <c:v>500</c:v>
                </c:pt>
                <c:pt idx="11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EE-4393-8836-C4656C0139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6968479"/>
        <c:axId val="1046274639"/>
      </c:barChart>
      <c:catAx>
        <c:axId val="1006968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274639"/>
        <c:crosses val="autoZero"/>
        <c:auto val="1"/>
        <c:lblAlgn val="ctr"/>
        <c:lblOffset val="100"/>
        <c:noMultiLvlLbl val="0"/>
      </c:catAx>
      <c:valAx>
        <c:axId val="1046274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6968479"/>
        <c:crosses val="autoZero"/>
        <c:crossBetween val="between"/>
      </c:valAx>
      <c:spPr>
        <a:noFill/>
        <a:ln>
          <a:solidFill>
            <a:srgbClr val="0070C0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[Customer_Data_final.xlsx]Revenue_by_Subscription_Plan!PivotTable2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>
                    <a:lumMod val="95000"/>
                    <a:lumOff val="5000"/>
                  </a:schemeClr>
                </a:solidFill>
              </a:rPr>
              <a:t>Revenue</a:t>
            </a:r>
            <a:r>
              <a:rPr lang="en-US" b="1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 by Subscription Plan</a:t>
            </a:r>
            <a:endParaRPr lang="en-US" b="1">
              <a:solidFill>
                <a:schemeClr val="tx1">
                  <a:lumMod val="95000"/>
                  <a:lumOff val="5000"/>
                </a:schemeClr>
              </a:solidFill>
            </a:endParaRPr>
          </a:p>
        </c:rich>
      </c:tx>
      <c:layout>
        <c:manualLayout>
          <c:xMode val="edge"/>
          <c:yMode val="edge"/>
          <c:x val="0.26762275502079091"/>
          <c:y val="4.06461067366579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solidFill>
              <a:schemeClr val="accent5">
                <a:lumMod val="40000"/>
                <a:lumOff val="6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>
              <a:lumMod val="10000"/>
              <a:lumOff val="90000"/>
            </a:schemeClr>
          </a:solidFill>
          <a:ln>
            <a:solidFill>
              <a:schemeClr val="accent5">
                <a:lumMod val="40000"/>
                <a:lumOff val="60000"/>
              </a:schemeClr>
            </a:solidFill>
          </a:ln>
          <a:effectLst/>
        </c:spPr>
      </c:pivotFmt>
      <c:pivotFmt>
        <c:idx val="2"/>
        <c:spPr>
          <a:solidFill>
            <a:schemeClr val="tx2">
              <a:lumMod val="25000"/>
              <a:lumOff val="75000"/>
            </a:schemeClr>
          </a:solidFill>
          <a:ln>
            <a:solidFill>
              <a:schemeClr val="accent5">
                <a:lumMod val="40000"/>
                <a:lumOff val="60000"/>
              </a:schemeClr>
            </a:solidFill>
          </a:ln>
          <a:effectLst/>
        </c:spPr>
      </c:pivotFmt>
      <c:pivotFmt>
        <c:idx val="3"/>
        <c:spPr>
          <a:solidFill>
            <a:schemeClr val="accent1">
              <a:lumMod val="60000"/>
              <a:lumOff val="40000"/>
            </a:schemeClr>
          </a:solidFill>
          <a:ln>
            <a:solidFill>
              <a:schemeClr val="accent5">
                <a:lumMod val="40000"/>
                <a:lumOff val="60000"/>
              </a:schemeClr>
            </a:solidFill>
          </a:ln>
          <a:effectLst/>
        </c:spPr>
      </c:pivotFmt>
      <c:pivotFmt>
        <c:idx val="4"/>
        <c:spPr>
          <a:solidFill>
            <a:schemeClr val="accent1"/>
          </a:solidFill>
          <a:ln>
            <a:solidFill>
              <a:schemeClr val="accent5">
                <a:lumMod val="40000"/>
                <a:lumOff val="6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tx2">
              <a:lumMod val="25000"/>
              <a:lumOff val="75000"/>
            </a:schemeClr>
          </a:solidFill>
          <a:ln>
            <a:solidFill>
              <a:schemeClr val="accent5">
                <a:lumMod val="40000"/>
                <a:lumOff val="60000"/>
              </a:schemeClr>
            </a:solidFill>
          </a:ln>
          <a:effectLst/>
        </c:spPr>
      </c:pivotFmt>
      <c:pivotFmt>
        <c:idx val="6"/>
        <c:spPr>
          <a:solidFill>
            <a:schemeClr val="tx2">
              <a:lumMod val="10000"/>
              <a:lumOff val="90000"/>
            </a:schemeClr>
          </a:solidFill>
          <a:ln>
            <a:solidFill>
              <a:schemeClr val="accent5">
                <a:lumMod val="40000"/>
                <a:lumOff val="60000"/>
              </a:schemeClr>
            </a:solidFill>
          </a:ln>
          <a:effectLst/>
        </c:spPr>
      </c:pivotFmt>
      <c:pivotFmt>
        <c:idx val="7"/>
        <c:spPr>
          <a:solidFill>
            <a:schemeClr val="accent1">
              <a:lumMod val="60000"/>
              <a:lumOff val="40000"/>
            </a:schemeClr>
          </a:solidFill>
          <a:ln>
            <a:solidFill>
              <a:schemeClr val="accent5">
                <a:lumMod val="40000"/>
                <a:lumOff val="60000"/>
              </a:schemeClr>
            </a:solidFill>
          </a:ln>
          <a:effectLst/>
        </c:spPr>
      </c:pivotFmt>
      <c:pivotFmt>
        <c:idx val="8"/>
        <c:spPr>
          <a:solidFill>
            <a:schemeClr val="accent1"/>
          </a:solidFill>
          <a:ln>
            <a:solidFill>
              <a:schemeClr val="accent5">
                <a:lumMod val="40000"/>
                <a:lumOff val="6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tx2">
              <a:lumMod val="25000"/>
              <a:lumOff val="75000"/>
            </a:schemeClr>
          </a:solidFill>
          <a:ln>
            <a:solidFill>
              <a:schemeClr val="accent5">
                <a:lumMod val="40000"/>
                <a:lumOff val="60000"/>
              </a:schemeClr>
            </a:solidFill>
          </a:ln>
          <a:effectLst/>
        </c:spPr>
      </c:pivotFmt>
      <c:pivotFmt>
        <c:idx val="10"/>
        <c:spPr>
          <a:solidFill>
            <a:schemeClr val="tx2">
              <a:lumMod val="10000"/>
              <a:lumOff val="90000"/>
            </a:schemeClr>
          </a:solidFill>
          <a:ln>
            <a:solidFill>
              <a:schemeClr val="accent5">
                <a:lumMod val="40000"/>
                <a:lumOff val="60000"/>
              </a:schemeClr>
            </a:solidFill>
          </a:ln>
          <a:effectLst/>
        </c:spPr>
      </c:pivotFmt>
      <c:pivotFmt>
        <c:idx val="11"/>
        <c:spPr>
          <a:solidFill>
            <a:schemeClr val="accent1">
              <a:lumMod val="60000"/>
              <a:lumOff val="40000"/>
            </a:schemeClr>
          </a:solidFill>
          <a:ln>
            <a:solidFill>
              <a:schemeClr val="accent5">
                <a:lumMod val="40000"/>
                <a:lumOff val="60000"/>
              </a:schemeClr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9.1804993970348303E-2"/>
          <c:y val="0.18321308321308324"/>
          <c:w val="0.70948517415052847"/>
          <c:h val="0.710397942681407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Revenue_by_Subscription_Plan!$B$3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5">
                  <a:lumMod val="40000"/>
                  <a:lumOff val="60000"/>
                </a:schemeClr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solidFill>
                  <a:schemeClr val="accent5">
                    <a:lumMod val="40000"/>
                    <a:lumOff val="6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B28-4CD0-9EC1-3E499739B54B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schemeClr val="accent5">
                    <a:lumMod val="40000"/>
                    <a:lumOff val="6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B28-4CD0-9EC1-3E499739B54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accent5">
                    <a:lumMod val="40000"/>
                    <a:lumOff val="6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B28-4CD0-9EC1-3E499739B54B}"/>
              </c:ext>
            </c:extLst>
          </c:dPt>
          <c:cat>
            <c:strRef>
              <c:f>Revenue_by_Subscription_Plan!$A$4:$A$7</c:f>
              <c:strCache>
                <c:ptCount val="3"/>
                <c:pt idx="0">
                  <c:v>Basic</c:v>
                </c:pt>
                <c:pt idx="1">
                  <c:v>Premium</c:v>
                </c:pt>
                <c:pt idx="2">
                  <c:v>Standard</c:v>
                </c:pt>
              </c:strCache>
            </c:strRef>
          </c:cat>
          <c:val>
            <c:numRef>
              <c:f>Revenue_by_Subscription_Plan!$B$4:$B$7</c:f>
              <c:numCache>
                <c:formatCode>General</c:formatCode>
                <c:ptCount val="3"/>
                <c:pt idx="0">
                  <c:v>8500</c:v>
                </c:pt>
                <c:pt idx="1">
                  <c:v>17300</c:v>
                </c:pt>
                <c:pt idx="2">
                  <c:v>11730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B28-4CD0-9EC1-3E499739B5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4743167"/>
        <c:axId val="1034746047"/>
      </c:barChart>
      <c:catAx>
        <c:axId val="1034743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746047"/>
        <c:crosses val="autoZero"/>
        <c:auto val="1"/>
        <c:lblAlgn val="ctr"/>
        <c:lblOffset val="100"/>
        <c:noMultiLvlLbl val="0"/>
      </c:catAx>
      <c:valAx>
        <c:axId val="103474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743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[Customer_Data_final.xlsx]Total_Customer_Status_Overview!PivotTable4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 baseline="0">
                <a:solidFill>
                  <a:sysClr val="windowText" lastClr="000000"/>
                </a:solidFill>
              </a:rPr>
              <a:t>TotalCustomer Status Overview</a:t>
            </a:r>
          </a:p>
        </c:rich>
      </c:tx>
      <c:layout>
        <c:manualLayout>
          <c:xMode val="edge"/>
          <c:yMode val="edge"/>
          <c:x val="0.10973338501081147"/>
          <c:y val="5.128889176327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7.4999999999999997E-2"/>
              <c:y val="3.240740740740723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9.1327913279132811E-2"/>
              <c:y val="-1.031821694933877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7.4999999999999997E-2"/>
              <c:y val="3.240740740740723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tx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9.1327913279132811E-2"/>
              <c:y val="-1.031821694933877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tx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7.4999999999999997E-2"/>
              <c:y val="3.240740740740723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tx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9.1327913279132811E-2"/>
              <c:y val="-1.031821694933877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Total_Customer_Status_Overview!$B$3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/>
            </a:solidFill>
          </c:spPr>
          <c:dPt>
            <c:idx val="0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11C-4342-9786-D0995DA31C4D}"/>
              </c:ext>
            </c:extLst>
          </c:dPt>
          <c:dPt>
            <c:idx val="1"/>
            <c:bubble3D val="0"/>
            <c:spPr>
              <a:solidFill>
                <a:schemeClr val="tx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11C-4342-9786-D0995DA31C4D}"/>
              </c:ext>
            </c:extLst>
          </c:dPt>
          <c:dLbls>
            <c:dLbl>
              <c:idx val="0"/>
              <c:layout>
                <c:manualLayout>
                  <c:x val="7.4999999999999997E-2"/>
                  <c:y val="3.2407407407407239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11C-4342-9786-D0995DA31C4D}"/>
                </c:ext>
              </c:extLst>
            </c:dLbl>
            <c:dLbl>
              <c:idx val="1"/>
              <c:layout>
                <c:manualLayout>
                  <c:x val="-9.1327913279132811E-2"/>
                  <c:y val="-1.0318216949338778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11C-4342-9786-D0995DA31C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Total_Customer_Status_Overview!$A$4:$A$6</c:f>
              <c:strCache>
                <c:ptCount val="2"/>
                <c:pt idx="0">
                  <c:v>Active</c:v>
                </c:pt>
                <c:pt idx="1">
                  <c:v>Churned</c:v>
                </c:pt>
              </c:strCache>
            </c:strRef>
          </c:cat>
          <c:val>
            <c:numRef>
              <c:f>Total_Customer_Status_Overview!$B$4:$B$6</c:f>
              <c:numCache>
                <c:formatCode>General</c:formatCode>
                <c:ptCount val="2"/>
                <c:pt idx="0">
                  <c:v>33</c:v>
                </c:pt>
                <c:pt idx="1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11C-4342-9786-D0995DA31C4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[Customer_Data_final.xlsx]Customer_Distribution_by_Plan!PivotTable3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chemeClr val="tx1">
                    <a:lumMod val="95000"/>
                    <a:lumOff val="5000"/>
                  </a:schemeClr>
                </a:solidFill>
              </a:rPr>
              <a:t>Customer</a:t>
            </a:r>
            <a:r>
              <a:rPr lang="en-US" sz="1400" b="1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 Distribution by Plan</a:t>
            </a:r>
            <a:endParaRPr lang="en-US" sz="1400" b="1">
              <a:solidFill>
                <a:schemeClr val="tx1">
                  <a:lumMod val="95000"/>
                  <a:lumOff val="5000"/>
                </a:schemeClr>
              </a:solidFill>
            </a:endParaRPr>
          </a:p>
        </c:rich>
      </c:tx>
      <c:layout>
        <c:manualLayout>
          <c:xMode val="edge"/>
          <c:yMode val="edge"/>
          <c:x val="0.14402339027430638"/>
          <c:y val="3.24149108589951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tx2">
              <a:lumMod val="10000"/>
              <a:lumOff val="9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tx2">
              <a:lumMod val="50000"/>
              <a:lumOff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3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tx2">
              <a:lumMod val="10000"/>
              <a:lumOff val="9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tx2">
              <a:lumMod val="50000"/>
              <a:lumOff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3">
              <a:lumMod val="40000"/>
              <a:lumOff val="60000"/>
            </a:schemeClr>
          </a:solidFill>
          <a:ln w="19050"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lumMod val="50000"/>
            </a:schemeClr>
          </a:solidFill>
          <a:ln w="19050">
            <a:solidFill>
              <a:schemeClr val="tx1">
                <a:lumMod val="95000"/>
                <a:lumOff val="5000"/>
              </a:schemeClr>
            </a:solidFill>
          </a:ln>
          <a:effectLst/>
        </c:spPr>
      </c:pivotFmt>
      <c:pivotFmt>
        <c:idx val="10"/>
        <c:spPr>
          <a:solidFill>
            <a:schemeClr val="tx2">
              <a:lumMod val="50000"/>
              <a:lumOff val="50000"/>
            </a:schemeClr>
          </a:solidFill>
          <a:ln w="19050">
            <a:solidFill>
              <a:schemeClr val="tx1">
                <a:lumMod val="95000"/>
                <a:lumOff val="5000"/>
              </a:schemeClr>
            </a:solidFill>
          </a:ln>
          <a:effectLst/>
        </c:spPr>
      </c:pivotFmt>
      <c:pivotFmt>
        <c:idx val="11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tx1">
                <a:lumMod val="95000"/>
                <a:lumOff val="5000"/>
              </a:schemeClr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4834723040572309"/>
          <c:y val="0.20011513266724013"/>
          <c:w val="0.49213362068965516"/>
          <c:h val="0.74019448946515398"/>
        </c:manualLayout>
      </c:layout>
      <c:pieChart>
        <c:varyColors val="1"/>
        <c:ser>
          <c:idx val="0"/>
          <c:order val="0"/>
          <c:tx>
            <c:strRef>
              <c:f>Customer_Distribution_by_Plan!$B$3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</c:spPr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378-4AB7-A6F2-04F781681F21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378-4AB7-A6F2-04F781681F21}"/>
              </c:ext>
            </c:extLst>
          </c:dPt>
          <c:dPt>
            <c:idx val="2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378-4AB7-A6F2-04F781681F21}"/>
              </c:ext>
            </c:extLst>
          </c:dPt>
          <c:cat>
            <c:strRef>
              <c:f>Customer_Distribution_by_Plan!$A$4:$A$7</c:f>
              <c:strCache>
                <c:ptCount val="3"/>
                <c:pt idx="0">
                  <c:v>Basic</c:v>
                </c:pt>
                <c:pt idx="1">
                  <c:v>Premium</c:v>
                </c:pt>
                <c:pt idx="2">
                  <c:v>Standard</c:v>
                </c:pt>
              </c:strCache>
            </c:strRef>
          </c:cat>
          <c:val>
            <c:numRef>
              <c:f>Customer_Distribution_by_Plan!$B$4:$B$7</c:f>
              <c:numCache>
                <c:formatCode>General</c:formatCode>
                <c:ptCount val="3"/>
                <c:pt idx="0">
                  <c:v>17</c:v>
                </c:pt>
                <c:pt idx="1">
                  <c:v>17</c:v>
                </c:pt>
                <c:pt idx="2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378-4AB7-A6F2-04F781681F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[Customer_Data_final.xlsx]Churn_by_Plan!PivotTable1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5"/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Churn by Subscription Plan</a:t>
            </a:r>
          </a:p>
        </c:rich>
      </c:tx>
      <c:layout>
        <c:manualLayout>
          <c:xMode val="edge"/>
          <c:yMode val="edge"/>
          <c:x val="0.30432462175994235"/>
          <c:y val="3.2290896573844818E-2"/>
        </c:manualLayout>
      </c:layout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5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>
              <a:lumMod val="20000"/>
              <a:lumOff val="80000"/>
            </a:schemeClr>
          </a:solidFill>
          <a:ln>
            <a:solidFill>
              <a:schemeClr val="accent5">
                <a:lumMod val="20000"/>
                <a:lumOff val="8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20000"/>
              <a:lumOff val="80000"/>
            </a:schemeClr>
          </a:solidFill>
          <a:ln>
            <a:solidFill>
              <a:schemeClr val="accent5">
                <a:lumMod val="20000"/>
                <a:lumOff val="80000"/>
              </a:schemeClr>
            </a:solidFill>
          </a:ln>
          <a:effectLst/>
        </c:spPr>
      </c:pivotFmt>
      <c:pivotFmt>
        <c:idx val="2"/>
        <c:spPr>
          <a:solidFill>
            <a:schemeClr val="accent6">
              <a:lumMod val="40000"/>
              <a:lumOff val="60000"/>
            </a:schemeClr>
          </a:solidFill>
          <a:ln>
            <a:solidFill>
              <a:schemeClr val="accent5">
                <a:lumMod val="20000"/>
                <a:lumOff val="80000"/>
              </a:schemeClr>
            </a:solidFill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Churn_by_Plan!$B$3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solidFill>
                <a:schemeClr val="accent5">
                  <a:lumMod val="20000"/>
                  <a:lumOff val="80000"/>
                </a:schemeClr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chemeClr val="accent5">
                    <a:lumMod val="20000"/>
                    <a:lumOff val="8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780E-457C-9C5E-242A43B61C8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solidFill>
                  <a:schemeClr val="accent5">
                    <a:lumMod val="20000"/>
                    <a:lumOff val="8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9EB-4B05-9AEE-CF03F95787A3}"/>
              </c:ext>
            </c:extLst>
          </c:dPt>
          <c:cat>
            <c:strRef>
              <c:f>Churn_by_Plan!$A$4:$A$6</c:f>
              <c:strCache>
                <c:ptCount val="2"/>
                <c:pt idx="0">
                  <c:v>Basic</c:v>
                </c:pt>
                <c:pt idx="1">
                  <c:v>Premium</c:v>
                </c:pt>
              </c:strCache>
            </c:strRef>
          </c:cat>
          <c:val>
            <c:numRef>
              <c:f>Churn_by_Plan!$B$4:$B$6</c:f>
              <c:numCache>
                <c:formatCode>General</c:formatCode>
                <c:ptCount val="2"/>
                <c:pt idx="0">
                  <c:v>16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EB-4B05-9AEE-CF03F95787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9614431"/>
        <c:axId val="619616351"/>
      </c:barChart>
      <c:catAx>
        <c:axId val="619614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616351"/>
        <c:crosses val="autoZero"/>
        <c:auto val="1"/>
        <c:lblAlgn val="ctr"/>
        <c:lblOffset val="100"/>
        <c:noMultiLvlLbl val="0"/>
      </c:catAx>
      <c:valAx>
        <c:axId val="619616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614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[Customer_Data_final.xlsx]Monthly_churn_Trend!PivotTable2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ysClr val="windowText" lastClr="000000"/>
                </a:solidFill>
              </a:rPr>
              <a:t>Monthly Churn Trend</a:t>
            </a:r>
            <a:endParaRPr lang="en-IN">
              <a:solidFill>
                <a:sysClr val="windowText" lastClr="000000"/>
              </a:solidFill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2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Monthly_churn_Trend!$B$3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Monthly_churn_Trend!$A$4:$A$16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Monthly_churn_Trend!$B$4:$B$16</c:f>
              <c:numCache>
                <c:formatCode>General</c:formatCode>
                <c:ptCount val="12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ED-4A92-BF22-0B38964051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9634111"/>
        <c:axId val="619596671"/>
      </c:barChart>
      <c:catAx>
        <c:axId val="619634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596671"/>
        <c:crosses val="autoZero"/>
        <c:auto val="1"/>
        <c:lblAlgn val="ctr"/>
        <c:lblOffset val="100"/>
        <c:noMultiLvlLbl val="0"/>
      </c:catAx>
      <c:valAx>
        <c:axId val="619596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634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[Customer_Data_final.xlsx]Churn_by_Payment!PivotTable3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u="none" strike="noStrike" baseline="0">
                <a:solidFill>
                  <a:sysClr val="windowText" lastClr="000000"/>
                </a:solidFill>
              </a:rPr>
              <a:t>Churn by Payment Method</a:t>
            </a:r>
            <a:endParaRPr lang="en-US" sz="1800" b="1" i="0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26064738066278775"/>
          <c:y val="4.63266523516509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20000"/>
              <a:lumOff val="80000"/>
            </a:schemeClr>
          </a:solidFill>
          <a:ln>
            <a:solidFill>
              <a:schemeClr val="accent5">
                <a:lumMod val="40000"/>
                <a:lumOff val="6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20000"/>
              <a:lumOff val="80000"/>
            </a:schemeClr>
          </a:solidFill>
          <a:ln>
            <a:solidFill>
              <a:schemeClr val="accent5">
                <a:lumMod val="40000"/>
                <a:lumOff val="60000"/>
              </a:schemeClr>
            </a:solidFill>
          </a:ln>
          <a:effectLst/>
        </c:spPr>
      </c:pivotFmt>
      <c:pivotFmt>
        <c:idx val="2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accent4">
                <a:lumMod val="20000"/>
                <a:lumOff val="80000"/>
              </a:schemeClr>
            </a:solidFill>
          </a:ln>
          <a:effectLst/>
        </c:spPr>
      </c:pivotFmt>
      <c:pivotFmt>
        <c:idx val="3"/>
        <c:spPr>
          <a:solidFill>
            <a:schemeClr val="accent2">
              <a:lumMod val="20000"/>
              <a:lumOff val="80000"/>
            </a:schemeClr>
          </a:solidFill>
          <a:ln>
            <a:solidFill>
              <a:schemeClr val="accent5">
                <a:lumMod val="40000"/>
                <a:lumOff val="60000"/>
              </a:schemeClr>
            </a:solidFill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Churn_by_Payment!$B$3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solidFill>
                <a:schemeClr val="accent5">
                  <a:lumMod val="40000"/>
                  <a:lumOff val="60000"/>
                </a:schemeClr>
              </a:solidFill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solidFill>
                  <a:schemeClr val="accent4">
                    <a:lumMod val="20000"/>
                    <a:lumOff val="8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30B-417C-83A6-0CA78A9627C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>
                <a:solidFill>
                  <a:schemeClr val="accent5">
                    <a:lumMod val="40000"/>
                    <a:lumOff val="6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030B-417C-83A6-0CA78A9627C4}"/>
              </c:ext>
            </c:extLst>
          </c:dPt>
          <c:cat>
            <c:strRef>
              <c:f>Churn_by_Payment!$A$4:$A$7</c:f>
              <c:strCache>
                <c:ptCount val="3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</c:strCache>
            </c:strRef>
          </c:cat>
          <c:val>
            <c:numRef>
              <c:f>Churn_by_Payment!$B$4:$B$7</c:f>
              <c:numCache>
                <c:formatCode>General</c:formatCode>
                <c:ptCount val="3"/>
                <c:pt idx="0">
                  <c:v>7</c:v>
                </c:pt>
                <c:pt idx="1">
                  <c:v>4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0B-417C-83A6-0CA78A9627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2033183"/>
        <c:axId val="642033663"/>
      </c:barChart>
      <c:catAx>
        <c:axId val="642033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033663"/>
        <c:crosses val="autoZero"/>
        <c:auto val="1"/>
        <c:lblAlgn val="ctr"/>
        <c:lblOffset val="100"/>
        <c:noMultiLvlLbl val="0"/>
      </c:catAx>
      <c:valAx>
        <c:axId val="642033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033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[Customer_Data_final.xlsx]Active_customers_trend!PivotTable4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ysClr val="windowText" lastClr="000000"/>
                </a:solidFill>
              </a:rPr>
              <a:t>Active Customers Trend</a:t>
            </a:r>
            <a:endParaRPr lang="en-IN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30164566929133857"/>
          <c:y val="4.88845144356955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tx2">
              <a:lumMod val="10000"/>
              <a:lumOff val="9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>
              <a:lumMod val="10000"/>
              <a:lumOff val="90000"/>
            </a:schemeClr>
          </a:solidFill>
          <a:ln>
            <a:solidFill>
              <a:schemeClr val="accent3">
                <a:lumMod val="20000"/>
                <a:lumOff val="80000"/>
              </a:schemeClr>
            </a:solidFill>
          </a:ln>
          <a:effectLst/>
        </c:spPr>
      </c:pivotFmt>
      <c:pivotFmt>
        <c:idx val="2"/>
        <c:spPr>
          <a:solidFill>
            <a:schemeClr val="tx2">
              <a:lumMod val="10000"/>
              <a:lumOff val="90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tx2">
              <a:lumMod val="10000"/>
              <a:lumOff val="9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tx2">
              <a:lumMod val="10000"/>
              <a:lumOff val="90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tx2">
              <a:lumMod val="10000"/>
              <a:lumOff val="9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tx2">
              <a:lumMod val="10000"/>
              <a:lumOff val="90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tx2">
              <a:lumMod val="10000"/>
              <a:lumOff val="9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tx2">
              <a:lumMod val="10000"/>
              <a:lumOff val="90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tx2">
              <a:lumMod val="10000"/>
              <a:lumOff val="90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tx2">
              <a:lumMod val="10000"/>
              <a:lumOff val="90000"/>
            </a:schemeClr>
          </a:solidFill>
          <a:ln>
            <a:noFill/>
          </a:ln>
          <a:effectLst/>
        </c:spPr>
      </c:pivotFmt>
      <c:pivotFmt>
        <c:idx val="11"/>
        <c:spPr>
          <a:solidFill>
            <a:schemeClr val="tx2">
              <a:lumMod val="10000"/>
              <a:lumOff val="9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Active_customers_trend!$B$3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10000"/>
                <a:lumOff val="9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601-43CC-8165-C8AFA9B4A314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schemeClr val="accent3">
                    <a:lumMod val="20000"/>
                    <a:lumOff val="8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7601-43CC-8165-C8AFA9B4A314}"/>
              </c:ext>
            </c:extLst>
          </c:dPt>
          <c:dPt>
            <c:idx val="3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7601-43CC-8165-C8AFA9B4A314}"/>
              </c:ext>
            </c:extLst>
          </c:dPt>
          <c:dPt>
            <c:idx val="4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601-43CC-8165-C8AFA9B4A314}"/>
              </c:ext>
            </c:extLst>
          </c:dPt>
          <c:dPt>
            <c:idx val="5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7601-43CC-8165-C8AFA9B4A314}"/>
              </c:ext>
            </c:extLst>
          </c:dPt>
          <c:dPt>
            <c:idx val="6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601-43CC-8165-C8AFA9B4A314}"/>
              </c:ext>
            </c:extLst>
          </c:dPt>
          <c:dPt>
            <c:idx val="7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7601-43CC-8165-C8AFA9B4A314}"/>
              </c:ext>
            </c:extLst>
          </c:dPt>
          <c:dPt>
            <c:idx val="8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7601-43CC-8165-C8AFA9B4A314}"/>
              </c:ext>
            </c:extLst>
          </c:dPt>
          <c:dPt>
            <c:idx val="9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7601-43CC-8165-C8AFA9B4A314}"/>
              </c:ext>
            </c:extLst>
          </c:dPt>
          <c:dPt>
            <c:idx val="10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7601-43CC-8165-C8AFA9B4A314}"/>
              </c:ext>
            </c:extLst>
          </c:dPt>
          <c:dPt>
            <c:idx val="11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7601-43CC-8165-C8AFA9B4A314}"/>
              </c:ext>
            </c:extLst>
          </c:dPt>
          <c:cat>
            <c:strRef>
              <c:f>Active_customers_trend!$A$4:$A$16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Active_customers_trend!$B$4:$B$16</c:f>
              <c:numCache>
                <c:formatCode>General</c:formatCode>
                <c:ptCount val="12"/>
                <c:pt idx="0">
                  <c:v>2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  <c:pt idx="10">
                  <c:v>3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01-43CC-8165-C8AFA9B4A3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8988207"/>
        <c:axId val="668997327"/>
      </c:barChart>
      <c:catAx>
        <c:axId val="668988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997327"/>
        <c:crosses val="autoZero"/>
        <c:auto val="1"/>
        <c:lblAlgn val="ctr"/>
        <c:lblOffset val="100"/>
        <c:noMultiLvlLbl val="0"/>
      </c:catAx>
      <c:valAx>
        <c:axId val="668997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988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[Customer_Data_final.xlsx]Revenue_lost!PivotTable1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 baseline="0"/>
              <a:t>Revenue Lost Due to Churn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tx2">
              <a:lumMod val="10000"/>
              <a:lumOff val="9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Revenue_lost!$B$3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10000"/>
                <a:lumOff val="90000"/>
              </a:schemeClr>
            </a:solidFill>
            <a:ln>
              <a:noFill/>
            </a:ln>
            <a:effectLst/>
          </c:spPr>
          <c:invertIfNegative val="0"/>
          <c:cat>
            <c:strRef>
              <c:f>Revenue_lost!$A$4:$A$16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Revenue_lost!$B$4:$B$16</c:f>
              <c:numCache>
                <c:formatCode>General</c:formatCode>
                <c:ptCount val="12"/>
                <c:pt idx="0">
                  <c:v>1900</c:v>
                </c:pt>
                <c:pt idx="1">
                  <c:v>500</c:v>
                </c:pt>
                <c:pt idx="2">
                  <c:v>500</c:v>
                </c:pt>
                <c:pt idx="3">
                  <c:v>1000</c:v>
                </c:pt>
                <c:pt idx="4">
                  <c:v>500</c:v>
                </c:pt>
                <c:pt idx="5">
                  <c:v>500</c:v>
                </c:pt>
                <c:pt idx="6">
                  <c:v>1000</c:v>
                </c:pt>
                <c:pt idx="7">
                  <c:v>500</c:v>
                </c:pt>
                <c:pt idx="8">
                  <c:v>500</c:v>
                </c:pt>
                <c:pt idx="9">
                  <c:v>1000</c:v>
                </c:pt>
                <c:pt idx="10">
                  <c:v>500</c:v>
                </c:pt>
                <c:pt idx="11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0D-41BD-9B84-9946D8D3A8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6968479"/>
        <c:axId val="1046274639"/>
      </c:barChart>
      <c:catAx>
        <c:axId val="1006968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274639"/>
        <c:crosses val="autoZero"/>
        <c:auto val="1"/>
        <c:lblAlgn val="ctr"/>
        <c:lblOffset val="100"/>
        <c:noMultiLvlLbl val="0"/>
      </c:catAx>
      <c:valAx>
        <c:axId val="1046274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6968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[Customer_Data_final.xlsx]Revenue_by_Subscription_Plan!PivotTable2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Revenue</a:t>
            </a:r>
            <a:r>
              <a:rPr lang="en-US" b="1" baseline="0"/>
              <a:t> by Subscription Plan</a:t>
            </a:r>
            <a:endParaRPr lang="en-US" b="1"/>
          </a:p>
        </c:rich>
      </c:tx>
      <c:layout>
        <c:manualLayout>
          <c:xMode val="edge"/>
          <c:yMode val="edge"/>
          <c:x val="0.28541932680712206"/>
          <c:y val="4.54560604166903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solidFill>
              <a:schemeClr val="accent5">
                <a:lumMod val="40000"/>
                <a:lumOff val="6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>
              <a:lumMod val="10000"/>
              <a:lumOff val="90000"/>
            </a:schemeClr>
          </a:solidFill>
          <a:ln>
            <a:solidFill>
              <a:schemeClr val="accent5">
                <a:lumMod val="40000"/>
                <a:lumOff val="60000"/>
              </a:schemeClr>
            </a:solidFill>
          </a:ln>
          <a:effectLst/>
        </c:spPr>
      </c:pivotFmt>
      <c:pivotFmt>
        <c:idx val="2"/>
        <c:spPr>
          <a:solidFill>
            <a:schemeClr val="tx2">
              <a:lumMod val="25000"/>
              <a:lumOff val="75000"/>
            </a:schemeClr>
          </a:solidFill>
          <a:ln>
            <a:solidFill>
              <a:schemeClr val="accent5">
                <a:lumMod val="40000"/>
                <a:lumOff val="60000"/>
              </a:schemeClr>
            </a:solidFill>
          </a:ln>
          <a:effectLst/>
        </c:spPr>
      </c:pivotFmt>
      <c:pivotFmt>
        <c:idx val="3"/>
        <c:spPr>
          <a:solidFill>
            <a:schemeClr val="accent1">
              <a:lumMod val="60000"/>
              <a:lumOff val="40000"/>
            </a:schemeClr>
          </a:solidFill>
          <a:ln>
            <a:solidFill>
              <a:schemeClr val="accent5">
                <a:lumMod val="40000"/>
                <a:lumOff val="60000"/>
              </a:schemeClr>
            </a:solidFill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Revenue_by_Subscription_Plan!$B$3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5">
                  <a:lumMod val="40000"/>
                  <a:lumOff val="60000"/>
                </a:schemeClr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solidFill>
                  <a:schemeClr val="accent5">
                    <a:lumMod val="40000"/>
                    <a:lumOff val="6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52E-4FBF-9CF5-613C93EC4236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schemeClr val="accent5">
                    <a:lumMod val="40000"/>
                    <a:lumOff val="6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52E-4FBF-9CF5-613C93EC423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accent5">
                    <a:lumMod val="40000"/>
                    <a:lumOff val="6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52E-4FBF-9CF5-613C93EC4236}"/>
              </c:ext>
            </c:extLst>
          </c:dPt>
          <c:cat>
            <c:strRef>
              <c:f>Revenue_by_Subscription_Plan!$A$4:$A$7</c:f>
              <c:strCache>
                <c:ptCount val="3"/>
                <c:pt idx="0">
                  <c:v>Basic</c:v>
                </c:pt>
                <c:pt idx="1">
                  <c:v>Premium</c:v>
                </c:pt>
                <c:pt idx="2">
                  <c:v>Standard</c:v>
                </c:pt>
              </c:strCache>
            </c:strRef>
          </c:cat>
          <c:val>
            <c:numRef>
              <c:f>Revenue_by_Subscription_Plan!$B$4:$B$7</c:f>
              <c:numCache>
                <c:formatCode>General</c:formatCode>
                <c:ptCount val="3"/>
                <c:pt idx="0">
                  <c:v>8500</c:v>
                </c:pt>
                <c:pt idx="1">
                  <c:v>17300</c:v>
                </c:pt>
                <c:pt idx="2">
                  <c:v>11730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2E-4FBF-9CF5-613C93EC42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4743167"/>
        <c:axId val="1034746047"/>
      </c:barChart>
      <c:catAx>
        <c:axId val="1034743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746047"/>
        <c:crosses val="autoZero"/>
        <c:auto val="1"/>
        <c:lblAlgn val="ctr"/>
        <c:lblOffset val="100"/>
        <c:noMultiLvlLbl val="0"/>
      </c:catAx>
      <c:valAx>
        <c:axId val="103474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743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[Customer_Data_final.xlsx]Customer_Distribution_by_Plan!PivotTable3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Customer</a:t>
            </a:r>
            <a:r>
              <a:rPr lang="en-US" b="1" baseline="0"/>
              <a:t> Distribution by Plan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tx2">
              <a:lumMod val="10000"/>
              <a:lumOff val="9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tx2">
              <a:lumMod val="50000"/>
              <a:lumOff val="5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Customer_Distribution_by_Plan!$B$3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</c:spPr>
          <c:dPt>
            <c:idx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774-4E4F-A060-C45D5956216A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1774-4E4F-A060-C45D5956216A}"/>
              </c:ext>
            </c:extLst>
          </c:dPt>
          <c:dPt>
            <c:idx val="2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774-4E4F-A060-C45D5956216A}"/>
              </c:ext>
            </c:extLst>
          </c:dPt>
          <c:cat>
            <c:strRef>
              <c:f>Customer_Distribution_by_Plan!$A$4:$A$7</c:f>
              <c:strCache>
                <c:ptCount val="3"/>
                <c:pt idx="0">
                  <c:v>Basic</c:v>
                </c:pt>
                <c:pt idx="1">
                  <c:v>Premium</c:v>
                </c:pt>
                <c:pt idx="2">
                  <c:v>Standard</c:v>
                </c:pt>
              </c:strCache>
            </c:strRef>
          </c:cat>
          <c:val>
            <c:numRef>
              <c:f>Customer_Distribution_by_Plan!$B$4:$B$7</c:f>
              <c:numCache>
                <c:formatCode>General</c:formatCode>
                <c:ptCount val="3"/>
                <c:pt idx="0">
                  <c:v>17</c:v>
                </c:pt>
                <c:pt idx="1">
                  <c:v>17</c:v>
                </c:pt>
                <c:pt idx="2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74-4E4F-A060-C45D595621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[Customer_Data_final.xlsx]Total_Customer_Status_Overview!PivotTable4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Customer Status Overview</a:t>
            </a:r>
          </a:p>
        </c:rich>
      </c:tx>
      <c:layout>
        <c:manualLayout>
          <c:xMode val="edge"/>
          <c:yMode val="edge"/>
          <c:x val="0.21336049210064956"/>
          <c:y val="4.44444444444444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7.4999999999999997E-2"/>
              <c:y val="3.240740740740723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9.1327913279132811E-2"/>
              <c:y val="-1.031821694933877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Total_Customer_Status_Overview!$B$3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/>
            </a:solidFill>
          </c:spPr>
          <c:dPt>
            <c:idx val="0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4CF-46A9-8FBB-FD4D6BF8B783}"/>
              </c:ext>
            </c:extLst>
          </c:dPt>
          <c:dPt>
            <c:idx val="1"/>
            <c:bubble3D val="0"/>
            <c:spPr>
              <a:solidFill>
                <a:schemeClr val="tx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4CF-46A9-8FBB-FD4D6BF8B783}"/>
              </c:ext>
            </c:extLst>
          </c:dPt>
          <c:dLbls>
            <c:dLbl>
              <c:idx val="0"/>
              <c:layout>
                <c:manualLayout>
                  <c:x val="7.4999999999999997E-2"/>
                  <c:y val="3.2407407407407239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4CF-46A9-8FBB-FD4D6BF8B783}"/>
                </c:ext>
              </c:extLst>
            </c:dLbl>
            <c:dLbl>
              <c:idx val="1"/>
              <c:layout>
                <c:manualLayout>
                  <c:x val="-9.1327913279132811E-2"/>
                  <c:y val="-1.0318216949338778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4CF-46A9-8FBB-FD4D6BF8B78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Total_Customer_Status_Overview!$A$4:$A$6</c:f>
              <c:strCache>
                <c:ptCount val="2"/>
                <c:pt idx="0">
                  <c:v>Active</c:v>
                </c:pt>
                <c:pt idx="1">
                  <c:v>Churned</c:v>
                </c:pt>
              </c:strCache>
            </c:strRef>
          </c:cat>
          <c:val>
            <c:numRef>
              <c:f>Total_Customer_Status_Overview!$B$4:$B$6</c:f>
              <c:numCache>
                <c:formatCode>General</c:formatCode>
                <c:ptCount val="2"/>
                <c:pt idx="0">
                  <c:v>33</c:v>
                </c:pt>
                <c:pt idx="1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CF-46A9-8FBB-FD4D6BF8B78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1</xdr:row>
      <xdr:rowOff>0</xdr:rowOff>
    </xdr:from>
    <xdr:to>
      <xdr:col>4</xdr:col>
      <xdr:colOff>601980</xdr:colOff>
      <xdr:row>11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61B969-CCE4-486C-8E02-9E0247A008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281940</xdr:colOff>
      <xdr:row>0</xdr:row>
      <xdr:rowOff>175260</xdr:rowOff>
    </xdr:from>
    <xdr:to>
      <xdr:col>10</xdr:col>
      <xdr:colOff>556260</xdr:colOff>
      <xdr:row>10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B9C6896-CE5B-47F7-A0DD-74B71441A9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304800</xdr:colOff>
      <xdr:row>0</xdr:row>
      <xdr:rowOff>167641</xdr:rowOff>
    </xdr:from>
    <xdr:to>
      <xdr:col>17</xdr:col>
      <xdr:colOff>198120</xdr:colOff>
      <xdr:row>10</xdr:row>
      <xdr:rowOff>30481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BBE7A1E-96D0-4FF8-946D-CDD2F3FB50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388620</xdr:colOff>
      <xdr:row>0</xdr:row>
      <xdr:rowOff>144780</xdr:rowOff>
    </xdr:from>
    <xdr:to>
      <xdr:col>22</xdr:col>
      <xdr:colOff>541020</xdr:colOff>
      <xdr:row>12</xdr:row>
      <xdr:rowOff>160020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C7C564A-3B22-496E-B37F-3FBB73FEE6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129540</xdr:colOff>
      <xdr:row>12</xdr:row>
      <xdr:rowOff>99060</xdr:rowOff>
    </xdr:from>
    <xdr:to>
      <xdr:col>4</xdr:col>
      <xdr:colOff>335280</xdr:colOff>
      <xdr:row>26</xdr:row>
      <xdr:rowOff>64770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4C21F4F-6282-4C5E-88B2-3F530969AA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350520</xdr:colOff>
      <xdr:row>15</xdr:row>
      <xdr:rowOff>160020</xdr:rowOff>
    </xdr:from>
    <xdr:to>
      <xdr:col>16</xdr:col>
      <xdr:colOff>586740</xdr:colOff>
      <xdr:row>26</xdr:row>
      <xdr:rowOff>99060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5ACFAC4-DD47-4B16-A03D-6D8E0A10A1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480060</xdr:colOff>
      <xdr:row>17</xdr:row>
      <xdr:rowOff>7620</xdr:rowOff>
    </xdr:from>
    <xdr:to>
      <xdr:col>10</xdr:col>
      <xdr:colOff>53340</xdr:colOff>
      <xdr:row>26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2E649B3-5D0B-4FE2-9EB9-EFF3020FA5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220980</xdr:colOff>
      <xdr:row>11</xdr:row>
      <xdr:rowOff>152400</xdr:rowOff>
    </xdr:from>
    <xdr:to>
      <xdr:col>14</xdr:col>
      <xdr:colOff>579120</xdr:colOff>
      <xdr:row>14</xdr:row>
      <xdr:rowOff>99060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535385EB-0CBE-632E-7A6A-1D54B7DC72A8}"/>
            </a:ext>
          </a:extLst>
        </xdr:cNvPr>
        <xdr:cNvSpPr/>
      </xdr:nvSpPr>
      <xdr:spPr>
        <a:xfrm>
          <a:off x="4488180" y="2164080"/>
          <a:ext cx="4625340" cy="4953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2000">
              <a:solidFill>
                <a:srgbClr val="00B0F0"/>
              </a:solidFill>
            </a:rPr>
            <a:t>   Customer</a:t>
          </a:r>
          <a:r>
            <a:rPr lang="en-IN" sz="2000" baseline="0">
              <a:solidFill>
                <a:srgbClr val="00B0F0"/>
              </a:solidFill>
            </a:rPr>
            <a:t> Retention and Churn Analysis</a:t>
          </a:r>
          <a:endParaRPr lang="en-IN" sz="2000">
            <a:solidFill>
              <a:srgbClr val="00B0F0"/>
            </a:solidFill>
          </a:endParaRPr>
        </a:p>
      </xdr:txBody>
    </xdr:sp>
    <xdr:clientData/>
  </xdr:twoCellAnchor>
  <xdr:twoCellAnchor>
    <xdr:from>
      <xdr:col>5</xdr:col>
      <xdr:colOff>30480</xdr:colOff>
      <xdr:row>10</xdr:row>
      <xdr:rowOff>99060</xdr:rowOff>
    </xdr:from>
    <xdr:to>
      <xdr:col>6</xdr:col>
      <xdr:colOff>495300</xdr:colOff>
      <xdr:row>16</xdr:row>
      <xdr:rowOff>38100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D9578867-BCC5-172B-D2AC-92DE36C1E849}"/>
            </a:ext>
          </a:extLst>
        </xdr:cNvPr>
        <xdr:cNvSpPr/>
      </xdr:nvSpPr>
      <xdr:spPr>
        <a:xfrm>
          <a:off x="3078480" y="1927860"/>
          <a:ext cx="1074420" cy="1036320"/>
        </a:xfrm>
        <a:prstGeom prst="ellipse">
          <a:avLst/>
        </a:prstGeom>
        <a:solidFill>
          <a:schemeClr val="tx2"/>
        </a:solidFill>
        <a:ln>
          <a:solidFill>
            <a:schemeClr val="accent1">
              <a:lumMod val="20000"/>
              <a:lumOff val="80000"/>
            </a:schemeClr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34% Churn  Rate</a:t>
          </a:r>
        </a:p>
      </xdr:txBody>
    </xdr:sp>
    <xdr:clientData/>
  </xdr:twoCellAnchor>
  <xdr:twoCellAnchor>
    <xdr:from>
      <xdr:col>15</xdr:col>
      <xdr:colOff>350520</xdr:colOff>
      <xdr:row>10</xdr:row>
      <xdr:rowOff>76200</xdr:rowOff>
    </xdr:from>
    <xdr:to>
      <xdr:col>17</xdr:col>
      <xdr:colOff>243840</xdr:colOff>
      <xdr:row>15</xdr:row>
      <xdr:rowOff>45720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ABB6986D-0797-E426-3FC5-957D7D7AC2C8}"/>
            </a:ext>
          </a:extLst>
        </xdr:cNvPr>
        <xdr:cNvSpPr/>
      </xdr:nvSpPr>
      <xdr:spPr>
        <a:xfrm>
          <a:off x="9494520" y="1905000"/>
          <a:ext cx="1112520" cy="883920"/>
        </a:xfrm>
        <a:prstGeom prst="ellipse">
          <a:avLst/>
        </a:prstGeom>
        <a:solidFill>
          <a:schemeClr val="accent1">
            <a:lumMod val="50000"/>
          </a:schemeClr>
        </a:solidFill>
        <a:ln>
          <a:solidFill>
            <a:schemeClr val="accent4">
              <a:lumMod val="20000"/>
              <a:lumOff val="8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66% Retention Rate</a:t>
          </a:r>
        </a:p>
      </xdr:txBody>
    </xdr:sp>
    <xdr:clientData/>
  </xdr:twoCellAnchor>
  <xdr:twoCellAnchor>
    <xdr:from>
      <xdr:col>17</xdr:col>
      <xdr:colOff>259080</xdr:colOff>
      <xdr:row>13</xdr:row>
      <xdr:rowOff>144780</xdr:rowOff>
    </xdr:from>
    <xdr:to>
      <xdr:col>23</xdr:col>
      <xdr:colOff>0</xdr:colOff>
      <xdr:row>26</xdr:row>
      <xdr:rowOff>91440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1E0AE420-E1AB-45D7-8029-0236E51B64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487680</xdr:colOff>
      <xdr:row>2</xdr:row>
      <xdr:rowOff>171450</xdr:rowOff>
    </xdr:from>
    <xdr:to>
      <xdr:col>9</xdr:col>
      <xdr:colOff>327660</xdr:colOff>
      <xdr:row>16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2E3AAD-058D-2280-0451-EC3F1DA9D9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419100</xdr:colOff>
      <xdr:row>6</xdr:row>
      <xdr:rowOff>41910</xdr:rowOff>
    </xdr:from>
    <xdr:to>
      <xdr:col>10</xdr:col>
      <xdr:colOff>495300</xdr:colOff>
      <xdr:row>20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7A9BB5-7CA4-6B16-6C49-78785C6CFC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419100</xdr:colOff>
      <xdr:row>6</xdr:row>
      <xdr:rowOff>41910</xdr:rowOff>
    </xdr:from>
    <xdr:to>
      <xdr:col>12</xdr:col>
      <xdr:colOff>270389</xdr:colOff>
      <xdr:row>29</xdr:row>
      <xdr:rowOff>135194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84771E-28D0-5255-94DF-9AE7DE5747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541020</xdr:colOff>
      <xdr:row>1</xdr:row>
      <xdr:rowOff>57150</xdr:rowOff>
    </xdr:from>
    <xdr:to>
      <xdr:col>10</xdr:col>
      <xdr:colOff>236220</xdr:colOff>
      <xdr:row>16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C9BAFA-4693-1B3D-7668-850F0B5347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6</xdr:row>
      <xdr:rowOff>22860</xdr:rowOff>
    </xdr:from>
    <xdr:to>
      <xdr:col>10</xdr:col>
      <xdr:colOff>350520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930E9E-7CC0-0CCE-A762-B135C5A3CD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6</xdr:row>
      <xdr:rowOff>41910</xdr:rowOff>
    </xdr:from>
    <xdr:to>
      <xdr:col>10</xdr:col>
      <xdr:colOff>510540</xdr:colOff>
      <xdr:row>20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19A320-6E11-B28B-FA0C-B2B018D009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419100</xdr:colOff>
      <xdr:row>6</xdr:row>
      <xdr:rowOff>41910</xdr:rowOff>
    </xdr:from>
    <xdr:to>
      <xdr:col>10</xdr:col>
      <xdr:colOff>152400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02F53A-2A7E-47AD-C128-4D18D0D800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541020</xdr:colOff>
      <xdr:row>6</xdr:row>
      <xdr:rowOff>41910</xdr:rowOff>
    </xdr:from>
    <xdr:to>
      <xdr:col>10</xdr:col>
      <xdr:colOff>22860</xdr:colOff>
      <xdr:row>20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FD3171-FBEC-C610-F3F8-56FEF6A07E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VATHARINI" refreshedDate="46083.938372106481" createdVersion="8" refreshedVersion="8" minRefreshableVersion="3" recordCount="50" xr:uid="{E1EE26F9-93B0-4FFF-89C2-E2797A10D2AD}">
  <cacheSource type="worksheet">
    <worksheetSource ref="A1:F51" sheet="Customer_Data"/>
  </cacheSource>
  <cacheFields count="6">
    <cacheField name="CustomerID" numFmtId="0">
      <sharedItems/>
    </cacheField>
    <cacheField name="JoinMonth" numFmtId="0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Plan" numFmtId="0">
      <sharedItems count="3">
        <s v="Basic"/>
        <s v="Premium"/>
        <s v="Standard"/>
      </sharedItems>
    </cacheField>
    <cacheField name="PaymentMethod" numFmtId="0">
      <sharedItems count="4">
        <s v="UPI"/>
        <s v="Credit Card"/>
        <s v="Debit Card"/>
        <s v="Cash"/>
      </sharedItems>
    </cacheField>
    <cacheField name="MonthlyCharges" numFmtId="0">
      <sharedItems containsSemiMixedTypes="0" containsString="0" containsNumber="1" containsInteger="1" minValue="500" maxValue="1100"/>
    </cacheField>
    <cacheField name="Status" numFmtId="0">
      <sharedItems count="2">
        <s v="Active"/>
        <s v="Churn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C001"/>
    <x v="0"/>
    <x v="0"/>
    <x v="0"/>
    <n v="500"/>
    <x v="0"/>
  </r>
  <r>
    <s v="C002"/>
    <x v="0"/>
    <x v="1"/>
    <x v="1"/>
    <n v="900"/>
    <x v="1"/>
  </r>
  <r>
    <s v="C003"/>
    <x v="0"/>
    <x v="2"/>
    <x v="2"/>
    <n v="700"/>
    <x v="0"/>
  </r>
  <r>
    <s v="C004"/>
    <x v="1"/>
    <x v="0"/>
    <x v="3"/>
    <n v="500"/>
    <x v="1"/>
  </r>
  <r>
    <s v="C005"/>
    <x v="1"/>
    <x v="1"/>
    <x v="0"/>
    <n v="1000"/>
    <x v="0"/>
  </r>
  <r>
    <s v="C006"/>
    <x v="1"/>
    <x v="2"/>
    <x v="1"/>
    <n v="750"/>
    <x v="0"/>
  </r>
  <r>
    <s v="C007"/>
    <x v="2"/>
    <x v="0"/>
    <x v="3"/>
    <n v="500"/>
    <x v="1"/>
  </r>
  <r>
    <s v="C008"/>
    <x v="2"/>
    <x v="1"/>
    <x v="0"/>
    <n v="950"/>
    <x v="0"/>
  </r>
  <r>
    <s v="C009"/>
    <x v="2"/>
    <x v="2"/>
    <x v="2"/>
    <n v="700"/>
    <x v="0"/>
  </r>
  <r>
    <s v="C010"/>
    <x v="3"/>
    <x v="0"/>
    <x v="1"/>
    <n v="500"/>
    <x v="1"/>
  </r>
  <r>
    <s v="C011"/>
    <x v="3"/>
    <x v="1"/>
    <x v="0"/>
    <n v="1100"/>
    <x v="0"/>
  </r>
  <r>
    <s v="C012"/>
    <x v="3"/>
    <x v="2"/>
    <x v="3"/>
    <n v="720"/>
    <x v="0"/>
  </r>
  <r>
    <s v="C013"/>
    <x v="4"/>
    <x v="0"/>
    <x v="2"/>
    <n v="500"/>
    <x v="1"/>
  </r>
  <r>
    <s v="C014"/>
    <x v="4"/>
    <x v="1"/>
    <x v="1"/>
    <n v="980"/>
    <x v="0"/>
  </r>
  <r>
    <s v="C015"/>
    <x v="4"/>
    <x v="2"/>
    <x v="0"/>
    <n v="750"/>
    <x v="0"/>
  </r>
  <r>
    <s v="C016"/>
    <x v="5"/>
    <x v="0"/>
    <x v="3"/>
    <n v="500"/>
    <x v="1"/>
  </r>
  <r>
    <s v="C017"/>
    <x v="5"/>
    <x v="1"/>
    <x v="0"/>
    <n v="1050"/>
    <x v="0"/>
  </r>
  <r>
    <s v="C018"/>
    <x v="5"/>
    <x v="2"/>
    <x v="1"/>
    <n v="730"/>
    <x v="0"/>
  </r>
  <r>
    <s v="C019"/>
    <x v="6"/>
    <x v="0"/>
    <x v="2"/>
    <n v="500"/>
    <x v="1"/>
  </r>
  <r>
    <s v="C020"/>
    <x v="6"/>
    <x v="1"/>
    <x v="0"/>
    <n v="990"/>
    <x v="0"/>
  </r>
  <r>
    <s v="C021"/>
    <x v="6"/>
    <x v="2"/>
    <x v="3"/>
    <n v="710"/>
    <x v="0"/>
  </r>
  <r>
    <s v="C022"/>
    <x v="7"/>
    <x v="0"/>
    <x v="3"/>
    <n v="500"/>
    <x v="1"/>
  </r>
  <r>
    <s v="C023"/>
    <x v="7"/>
    <x v="1"/>
    <x v="1"/>
    <n v="1020"/>
    <x v="0"/>
  </r>
  <r>
    <s v="C024"/>
    <x v="7"/>
    <x v="2"/>
    <x v="0"/>
    <n v="740"/>
    <x v="0"/>
  </r>
  <r>
    <s v="C025"/>
    <x v="8"/>
    <x v="0"/>
    <x v="2"/>
    <n v="500"/>
    <x v="1"/>
  </r>
  <r>
    <s v="C026"/>
    <x v="8"/>
    <x v="1"/>
    <x v="0"/>
    <n v="1080"/>
    <x v="0"/>
  </r>
  <r>
    <s v="C027"/>
    <x v="8"/>
    <x v="2"/>
    <x v="1"/>
    <n v="760"/>
    <x v="0"/>
  </r>
  <r>
    <s v="C028"/>
    <x v="9"/>
    <x v="0"/>
    <x v="3"/>
    <n v="500"/>
    <x v="1"/>
  </r>
  <r>
    <s v="C029"/>
    <x v="9"/>
    <x v="1"/>
    <x v="2"/>
    <n v="970"/>
    <x v="0"/>
  </r>
  <r>
    <s v="C030"/>
    <x v="9"/>
    <x v="2"/>
    <x v="0"/>
    <n v="720"/>
    <x v="0"/>
  </r>
  <r>
    <s v="C031"/>
    <x v="10"/>
    <x v="0"/>
    <x v="1"/>
    <n v="500"/>
    <x v="1"/>
  </r>
  <r>
    <s v="C032"/>
    <x v="10"/>
    <x v="1"/>
    <x v="0"/>
    <n v="1030"/>
    <x v="0"/>
  </r>
  <r>
    <s v="C033"/>
    <x v="10"/>
    <x v="2"/>
    <x v="3"/>
    <n v="750"/>
    <x v="0"/>
  </r>
  <r>
    <s v="C034"/>
    <x v="11"/>
    <x v="0"/>
    <x v="2"/>
    <n v="500"/>
    <x v="1"/>
  </r>
  <r>
    <s v="C035"/>
    <x v="11"/>
    <x v="1"/>
    <x v="1"/>
    <n v="990"/>
    <x v="0"/>
  </r>
  <r>
    <s v="C036"/>
    <x v="11"/>
    <x v="2"/>
    <x v="0"/>
    <n v="730"/>
    <x v="0"/>
  </r>
  <r>
    <s v="C037"/>
    <x v="0"/>
    <x v="0"/>
    <x v="3"/>
    <n v="500"/>
    <x v="1"/>
  </r>
  <r>
    <s v="C038"/>
    <x v="1"/>
    <x v="1"/>
    <x v="0"/>
    <n v="1010"/>
    <x v="0"/>
  </r>
  <r>
    <s v="C039"/>
    <x v="2"/>
    <x v="2"/>
    <x v="1"/>
    <n v="760"/>
    <x v="0"/>
  </r>
  <r>
    <s v="C040"/>
    <x v="3"/>
    <x v="0"/>
    <x v="2"/>
    <n v="500"/>
    <x v="1"/>
  </r>
  <r>
    <s v="C041"/>
    <x v="4"/>
    <x v="1"/>
    <x v="0"/>
    <n v="1040"/>
    <x v="0"/>
  </r>
  <r>
    <s v="C042"/>
    <x v="5"/>
    <x v="2"/>
    <x v="3"/>
    <n v="720"/>
    <x v="0"/>
  </r>
  <r>
    <s v="C043"/>
    <x v="6"/>
    <x v="0"/>
    <x v="1"/>
    <n v="500"/>
    <x v="1"/>
  </r>
  <r>
    <s v="C044"/>
    <x v="7"/>
    <x v="1"/>
    <x v="0"/>
    <n v="1090"/>
    <x v="0"/>
  </r>
  <r>
    <s v="C045"/>
    <x v="8"/>
    <x v="2"/>
    <x v="2"/>
    <n v="740"/>
    <x v="0"/>
  </r>
  <r>
    <s v="C046"/>
    <x v="9"/>
    <x v="0"/>
    <x v="3"/>
    <n v="500"/>
    <x v="1"/>
  </r>
  <r>
    <s v="C047"/>
    <x v="10"/>
    <x v="1"/>
    <x v="1"/>
    <n v="1000"/>
    <x v="0"/>
  </r>
  <r>
    <s v="C048"/>
    <x v="11"/>
    <x v="2"/>
    <x v="0"/>
    <n v="750"/>
    <x v="0"/>
  </r>
  <r>
    <s v="C049"/>
    <x v="0"/>
    <x v="0"/>
    <x v="2"/>
    <n v="500"/>
    <x v="1"/>
  </r>
  <r>
    <s v="C050"/>
    <x v="1"/>
    <x v="1"/>
    <x v="0"/>
    <n v="110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A85F7F-CB9A-468C-9E68-C38B9B43822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6" firstHeaderRow="1" firstDataRow="1" firstDataCol="1" rowPageCount="1" colPageCount="1"/>
  <pivotFields count="6">
    <pivotField dataField="1"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axis="axisPage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Items count="1">
    <i/>
  </colItems>
  <pageFields count="1">
    <pageField fld="5" item="1" hier="-1"/>
  </pageFields>
  <dataFields count="1">
    <dataField name="Count of CustomerID" fld="0" subtotal="count" baseField="0" baseItem="0"/>
  </dataField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4594ED-7701-4B28-9499-C0C43FE56FA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6" firstHeaderRow="1" firstDataRow="1" firstDataCol="1" rowPageCount="1" colPageCount="1"/>
  <pivotFields count="6">
    <pivotField dataField="1"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axis="axisPage" showAll="0">
      <items count="3">
        <item x="0"/>
        <item x="1"/>
        <item t="default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5" item="1" hier="-1"/>
  </pageFields>
  <dataFields count="1">
    <dataField name="Count of CustomerID" fld="0" subtotal="count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33A3C4-CF1E-4531-857F-52A99751E71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7" firstHeaderRow="1" firstDataRow="1" firstDataCol="1" rowPageCount="1" colPageCount="1"/>
  <pivotFields count="6">
    <pivotField dataField="1"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axis="axisPage" showAll="0">
      <items count="3">
        <item x="0"/>
        <item x="1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5" item="1" hier="-1"/>
  </pageFields>
  <dataFields count="1">
    <dataField name="Count of CustomerID" fld="0" subtotal="count" baseField="0" baseItem="0"/>
  </dataFields>
  <chartFormats count="8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371EC5-E7F7-4BA2-BD68-137E46B09E5E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6" firstHeaderRow="1" firstDataRow="1" firstDataCol="1" rowPageCount="1" colPageCount="1"/>
  <pivotFields count="6">
    <pivotField dataField="1"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axis="axisPage" showAll="0">
      <items count="3">
        <item x="0"/>
        <item x="1"/>
        <item t="default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5" item="0" hier="-1"/>
  </pageFields>
  <dataFields count="1">
    <dataField name="Count of CustomerID" fld="0" subtotal="count" baseField="0" baseItem="0"/>
  </dataFields>
  <chartFormats count="2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3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5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26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27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28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3" format="29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3" format="30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3" format="3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3" format="32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3" format="33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3" format="34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3" format="35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E8CB9A-A040-469A-9938-8AE1C8DAF08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6" firstHeaderRow="1" firstDataRow="1" firstDataCol="1" rowPageCount="1" colPageCount="1"/>
  <pivotFields count="6"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dataField="1" showAll="0"/>
    <pivotField axis="axisPage" showAll="0">
      <items count="3">
        <item x="0"/>
        <item x="1"/>
        <item t="default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5" item="1" hier="-1"/>
  </pageFields>
  <dataFields count="1">
    <dataField name="Sum of MonthlyCharges" fld="4" baseField="0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7698B6-FCFB-415B-AB60-F321034C761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6"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MonthlyCharges" fld="4" baseField="0" baseItem="0"/>
  </dataFields>
  <chartFormats count="8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F96D10-B601-4774-B74B-1C2DBB0ADF1A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B7" firstHeaderRow="1" firstDataRow="1" firstDataCol="1"/>
  <pivotFields count="6">
    <pivotField dataField="1"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ustomerID" fld="0" subtotal="count" baseField="0" baseItem="0"/>
  </dataFields>
  <chartFormats count="20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2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4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4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5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5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ABF4EE-4F43-444E-80B3-8CDC02066941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6" firstHeaderRow="1" firstDataRow="1" firstDataCol="1"/>
  <pivotFields count="6">
    <pivotField dataField="1"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Count of CustomerID" fld="0" subtotal="count" baseField="0" baseItem="0"/>
  </dataFields>
  <chartFormats count="6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70C85-54A7-40FC-BDC1-13590227E237}">
  <dimension ref="A1"/>
  <sheetViews>
    <sheetView showGridLines="0" tabSelected="1" zoomScaleNormal="100" workbookViewId="0">
      <selection activeCell="Y7" sqref="Y7"/>
    </sheetView>
  </sheetViews>
  <sheetFormatPr defaultRowHeight="14.4" x14ac:dyDescent="0.3"/>
  <cols>
    <col min="22" max="22" width="8.88671875" customWidth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12B3C-4A1B-4AA1-A65E-CF7362E33F80}">
  <dimension ref="A1:F62"/>
  <sheetViews>
    <sheetView workbookViewId="0">
      <selection activeCell="H19" sqref="H19"/>
    </sheetView>
  </sheetViews>
  <sheetFormatPr defaultRowHeight="14.4" x14ac:dyDescent="0.3"/>
  <cols>
    <col min="1" max="1" width="10.5546875" bestFit="1" customWidth="1"/>
    <col min="2" max="2" width="9.109375" bestFit="1" customWidth="1"/>
    <col min="3" max="3" width="8.33203125" bestFit="1" customWidth="1"/>
    <col min="4" max="4" width="14.109375" bestFit="1" customWidth="1"/>
    <col min="5" max="5" width="14" bestFit="1" customWidth="1"/>
    <col min="6" max="6" width="7.88671875" bestFit="1" customWidth="1"/>
  </cols>
  <sheetData>
    <row r="1" spans="1: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t="s">
        <v>5</v>
      </c>
      <c r="B2" t="s">
        <v>6</v>
      </c>
      <c r="C2" t="s">
        <v>7</v>
      </c>
      <c r="D2" t="s">
        <v>8</v>
      </c>
      <c r="E2">
        <v>500</v>
      </c>
      <c r="F2" t="s">
        <v>9</v>
      </c>
    </row>
    <row r="3" spans="1:6" x14ac:dyDescent="0.3">
      <c r="A3" t="s">
        <v>10</v>
      </c>
      <c r="B3" t="s">
        <v>6</v>
      </c>
      <c r="C3" t="s">
        <v>11</v>
      </c>
      <c r="D3" t="s">
        <v>12</v>
      </c>
      <c r="E3">
        <v>900</v>
      </c>
      <c r="F3" t="s">
        <v>13</v>
      </c>
    </row>
    <row r="4" spans="1:6" x14ac:dyDescent="0.3">
      <c r="A4" t="s">
        <v>14</v>
      </c>
      <c r="B4" t="s">
        <v>6</v>
      </c>
      <c r="C4" t="s">
        <v>15</v>
      </c>
      <c r="D4" t="s">
        <v>16</v>
      </c>
      <c r="E4">
        <v>700</v>
      </c>
      <c r="F4" t="s">
        <v>9</v>
      </c>
    </row>
    <row r="5" spans="1:6" x14ac:dyDescent="0.3">
      <c r="A5" t="s">
        <v>17</v>
      </c>
      <c r="B5" t="s">
        <v>18</v>
      </c>
      <c r="C5" t="s">
        <v>7</v>
      </c>
      <c r="D5" t="s">
        <v>19</v>
      </c>
      <c r="E5">
        <v>500</v>
      </c>
      <c r="F5" t="s">
        <v>13</v>
      </c>
    </row>
    <row r="6" spans="1:6" x14ac:dyDescent="0.3">
      <c r="A6" t="s">
        <v>20</v>
      </c>
      <c r="B6" t="s">
        <v>18</v>
      </c>
      <c r="C6" t="s">
        <v>11</v>
      </c>
      <c r="D6" t="s">
        <v>8</v>
      </c>
      <c r="E6">
        <v>1000</v>
      </c>
      <c r="F6" t="s">
        <v>9</v>
      </c>
    </row>
    <row r="7" spans="1:6" x14ac:dyDescent="0.3">
      <c r="A7" t="s">
        <v>21</v>
      </c>
      <c r="B7" t="s">
        <v>18</v>
      </c>
      <c r="C7" t="s">
        <v>15</v>
      </c>
      <c r="D7" t="s">
        <v>12</v>
      </c>
      <c r="E7">
        <v>750</v>
      </c>
      <c r="F7" t="s">
        <v>9</v>
      </c>
    </row>
    <row r="8" spans="1:6" x14ac:dyDescent="0.3">
      <c r="A8" t="s">
        <v>22</v>
      </c>
      <c r="B8" t="s">
        <v>23</v>
      </c>
      <c r="C8" t="s">
        <v>7</v>
      </c>
      <c r="D8" t="s">
        <v>19</v>
      </c>
      <c r="E8">
        <v>500</v>
      </c>
      <c r="F8" t="s">
        <v>13</v>
      </c>
    </row>
    <row r="9" spans="1:6" x14ac:dyDescent="0.3">
      <c r="A9" t="s">
        <v>24</v>
      </c>
      <c r="B9" t="s">
        <v>23</v>
      </c>
      <c r="C9" t="s">
        <v>11</v>
      </c>
      <c r="D9" t="s">
        <v>8</v>
      </c>
      <c r="E9">
        <v>950</v>
      </c>
      <c r="F9" t="s">
        <v>9</v>
      </c>
    </row>
    <row r="10" spans="1:6" x14ac:dyDescent="0.3">
      <c r="A10" t="s">
        <v>25</v>
      </c>
      <c r="B10" t="s">
        <v>23</v>
      </c>
      <c r="C10" t="s">
        <v>15</v>
      </c>
      <c r="D10" t="s">
        <v>16</v>
      </c>
      <c r="E10">
        <v>700</v>
      </c>
      <c r="F10" t="s">
        <v>9</v>
      </c>
    </row>
    <row r="11" spans="1:6" x14ac:dyDescent="0.3">
      <c r="A11" t="s">
        <v>26</v>
      </c>
      <c r="B11" t="s">
        <v>27</v>
      </c>
      <c r="C11" t="s">
        <v>7</v>
      </c>
      <c r="D11" t="s">
        <v>12</v>
      </c>
      <c r="E11">
        <v>500</v>
      </c>
      <c r="F11" t="s">
        <v>13</v>
      </c>
    </row>
    <row r="12" spans="1:6" x14ac:dyDescent="0.3">
      <c r="A12" t="s">
        <v>28</v>
      </c>
      <c r="B12" t="s">
        <v>27</v>
      </c>
      <c r="C12" t="s">
        <v>11</v>
      </c>
      <c r="D12" t="s">
        <v>8</v>
      </c>
      <c r="E12">
        <v>1100</v>
      </c>
      <c r="F12" t="s">
        <v>9</v>
      </c>
    </row>
    <row r="13" spans="1:6" x14ac:dyDescent="0.3">
      <c r="A13" t="s">
        <v>29</v>
      </c>
      <c r="B13" t="s">
        <v>27</v>
      </c>
      <c r="C13" t="s">
        <v>15</v>
      </c>
      <c r="D13" t="s">
        <v>19</v>
      </c>
      <c r="E13">
        <v>720</v>
      </c>
      <c r="F13" t="s">
        <v>9</v>
      </c>
    </row>
    <row r="14" spans="1:6" x14ac:dyDescent="0.3">
      <c r="A14" t="s">
        <v>30</v>
      </c>
      <c r="B14" t="s">
        <v>31</v>
      </c>
      <c r="C14" t="s">
        <v>7</v>
      </c>
      <c r="D14" t="s">
        <v>16</v>
      </c>
      <c r="E14">
        <v>500</v>
      </c>
      <c r="F14" t="s">
        <v>13</v>
      </c>
    </row>
    <row r="15" spans="1:6" x14ac:dyDescent="0.3">
      <c r="A15" t="s">
        <v>32</v>
      </c>
      <c r="B15" t="s">
        <v>31</v>
      </c>
      <c r="C15" t="s">
        <v>11</v>
      </c>
      <c r="D15" t="s">
        <v>12</v>
      </c>
      <c r="E15">
        <v>980</v>
      </c>
      <c r="F15" t="s">
        <v>9</v>
      </c>
    </row>
    <row r="16" spans="1:6" x14ac:dyDescent="0.3">
      <c r="A16" t="s">
        <v>33</v>
      </c>
      <c r="B16" t="s">
        <v>31</v>
      </c>
      <c r="C16" t="s">
        <v>15</v>
      </c>
      <c r="D16" t="s">
        <v>8</v>
      </c>
      <c r="E16">
        <v>750</v>
      </c>
      <c r="F16" t="s">
        <v>9</v>
      </c>
    </row>
    <row r="17" spans="1:6" x14ac:dyDescent="0.3">
      <c r="A17" t="s">
        <v>34</v>
      </c>
      <c r="B17" t="s">
        <v>35</v>
      </c>
      <c r="C17" t="s">
        <v>7</v>
      </c>
      <c r="D17" t="s">
        <v>19</v>
      </c>
      <c r="E17">
        <v>500</v>
      </c>
      <c r="F17" t="s">
        <v>13</v>
      </c>
    </row>
    <row r="18" spans="1:6" x14ac:dyDescent="0.3">
      <c r="A18" t="s">
        <v>36</v>
      </c>
      <c r="B18" t="s">
        <v>35</v>
      </c>
      <c r="C18" t="s">
        <v>11</v>
      </c>
      <c r="D18" t="s">
        <v>8</v>
      </c>
      <c r="E18">
        <v>1050</v>
      </c>
      <c r="F18" t="s">
        <v>9</v>
      </c>
    </row>
    <row r="19" spans="1:6" x14ac:dyDescent="0.3">
      <c r="A19" t="s">
        <v>37</v>
      </c>
      <c r="B19" t="s">
        <v>35</v>
      </c>
      <c r="C19" t="s">
        <v>15</v>
      </c>
      <c r="D19" t="s">
        <v>12</v>
      </c>
      <c r="E19">
        <v>730</v>
      </c>
      <c r="F19" t="s">
        <v>9</v>
      </c>
    </row>
    <row r="20" spans="1:6" x14ac:dyDescent="0.3">
      <c r="A20" t="s">
        <v>38</v>
      </c>
      <c r="B20" t="s">
        <v>39</v>
      </c>
      <c r="C20" t="s">
        <v>7</v>
      </c>
      <c r="D20" t="s">
        <v>16</v>
      </c>
      <c r="E20">
        <v>500</v>
      </c>
      <c r="F20" t="s">
        <v>13</v>
      </c>
    </row>
    <row r="21" spans="1:6" x14ac:dyDescent="0.3">
      <c r="A21" t="s">
        <v>40</v>
      </c>
      <c r="B21" t="s">
        <v>39</v>
      </c>
      <c r="C21" t="s">
        <v>11</v>
      </c>
      <c r="D21" t="s">
        <v>8</v>
      </c>
      <c r="E21">
        <v>990</v>
      </c>
      <c r="F21" t="s">
        <v>9</v>
      </c>
    </row>
    <row r="22" spans="1:6" x14ac:dyDescent="0.3">
      <c r="A22" t="s">
        <v>41</v>
      </c>
      <c r="B22" t="s">
        <v>39</v>
      </c>
      <c r="C22" t="s">
        <v>15</v>
      </c>
      <c r="D22" t="s">
        <v>19</v>
      </c>
      <c r="E22">
        <v>710</v>
      </c>
      <c r="F22" t="s">
        <v>9</v>
      </c>
    </row>
    <row r="23" spans="1:6" x14ac:dyDescent="0.3">
      <c r="A23" t="s">
        <v>42</v>
      </c>
      <c r="B23" t="s">
        <v>43</v>
      </c>
      <c r="C23" t="s">
        <v>7</v>
      </c>
      <c r="D23" t="s">
        <v>19</v>
      </c>
      <c r="E23">
        <v>500</v>
      </c>
      <c r="F23" t="s">
        <v>13</v>
      </c>
    </row>
    <row r="24" spans="1:6" x14ac:dyDescent="0.3">
      <c r="A24" t="s">
        <v>44</v>
      </c>
      <c r="B24" t="s">
        <v>43</v>
      </c>
      <c r="C24" t="s">
        <v>11</v>
      </c>
      <c r="D24" t="s">
        <v>12</v>
      </c>
      <c r="E24">
        <v>1020</v>
      </c>
      <c r="F24" t="s">
        <v>9</v>
      </c>
    </row>
    <row r="25" spans="1:6" x14ac:dyDescent="0.3">
      <c r="A25" t="s">
        <v>45</v>
      </c>
      <c r="B25" t="s">
        <v>43</v>
      </c>
      <c r="C25" t="s">
        <v>15</v>
      </c>
      <c r="D25" t="s">
        <v>8</v>
      </c>
      <c r="E25">
        <v>740</v>
      </c>
      <c r="F25" t="s">
        <v>9</v>
      </c>
    </row>
    <row r="26" spans="1:6" x14ac:dyDescent="0.3">
      <c r="A26" t="s">
        <v>46</v>
      </c>
      <c r="B26" t="s">
        <v>47</v>
      </c>
      <c r="C26" t="s">
        <v>7</v>
      </c>
      <c r="D26" t="s">
        <v>16</v>
      </c>
      <c r="E26">
        <v>500</v>
      </c>
      <c r="F26" t="s">
        <v>13</v>
      </c>
    </row>
    <row r="27" spans="1:6" x14ac:dyDescent="0.3">
      <c r="A27" t="s">
        <v>48</v>
      </c>
      <c r="B27" t="s">
        <v>47</v>
      </c>
      <c r="C27" t="s">
        <v>11</v>
      </c>
      <c r="D27" t="s">
        <v>8</v>
      </c>
      <c r="E27">
        <v>1080</v>
      </c>
      <c r="F27" t="s">
        <v>9</v>
      </c>
    </row>
    <row r="28" spans="1:6" x14ac:dyDescent="0.3">
      <c r="A28" t="s">
        <v>49</v>
      </c>
      <c r="B28" t="s">
        <v>47</v>
      </c>
      <c r="C28" t="s">
        <v>15</v>
      </c>
      <c r="D28" t="s">
        <v>12</v>
      </c>
      <c r="E28">
        <v>760</v>
      </c>
      <c r="F28" t="s">
        <v>9</v>
      </c>
    </row>
    <row r="29" spans="1:6" x14ac:dyDescent="0.3">
      <c r="A29" t="s">
        <v>50</v>
      </c>
      <c r="B29" t="s">
        <v>51</v>
      </c>
      <c r="C29" t="s">
        <v>7</v>
      </c>
      <c r="D29" t="s">
        <v>19</v>
      </c>
      <c r="E29">
        <v>500</v>
      </c>
      <c r="F29" t="s">
        <v>13</v>
      </c>
    </row>
    <row r="30" spans="1:6" x14ac:dyDescent="0.3">
      <c r="A30" t="s">
        <v>52</v>
      </c>
      <c r="B30" t="s">
        <v>51</v>
      </c>
      <c r="C30" t="s">
        <v>11</v>
      </c>
      <c r="D30" t="s">
        <v>16</v>
      </c>
      <c r="E30">
        <v>970</v>
      </c>
      <c r="F30" t="s">
        <v>9</v>
      </c>
    </row>
    <row r="31" spans="1:6" x14ac:dyDescent="0.3">
      <c r="A31" t="s">
        <v>53</v>
      </c>
      <c r="B31" t="s">
        <v>51</v>
      </c>
      <c r="C31" t="s">
        <v>15</v>
      </c>
      <c r="D31" t="s">
        <v>8</v>
      </c>
      <c r="E31">
        <v>720</v>
      </c>
      <c r="F31" t="s">
        <v>9</v>
      </c>
    </row>
    <row r="32" spans="1:6" x14ac:dyDescent="0.3">
      <c r="A32" t="s">
        <v>54</v>
      </c>
      <c r="B32" t="s">
        <v>55</v>
      </c>
      <c r="C32" t="s">
        <v>7</v>
      </c>
      <c r="D32" t="s">
        <v>12</v>
      </c>
      <c r="E32">
        <v>500</v>
      </c>
      <c r="F32" t="s">
        <v>13</v>
      </c>
    </row>
    <row r="33" spans="1:6" x14ac:dyDescent="0.3">
      <c r="A33" t="s">
        <v>56</v>
      </c>
      <c r="B33" t="s">
        <v>55</v>
      </c>
      <c r="C33" t="s">
        <v>11</v>
      </c>
      <c r="D33" t="s">
        <v>8</v>
      </c>
      <c r="E33">
        <v>1030</v>
      </c>
      <c r="F33" t="s">
        <v>9</v>
      </c>
    </row>
    <row r="34" spans="1:6" x14ac:dyDescent="0.3">
      <c r="A34" t="s">
        <v>57</v>
      </c>
      <c r="B34" t="s">
        <v>55</v>
      </c>
      <c r="C34" t="s">
        <v>15</v>
      </c>
      <c r="D34" t="s">
        <v>19</v>
      </c>
      <c r="E34">
        <v>750</v>
      </c>
      <c r="F34" t="s">
        <v>9</v>
      </c>
    </row>
    <row r="35" spans="1:6" x14ac:dyDescent="0.3">
      <c r="A35" t="s">
        <v>58</v>
      </c>
      <c r="B35" t="s">
        <v>59</v>
      </c>
      <c r="C35" t="s">
        <v>7</v>
      </c>
      <c r="D35" t="s">
        <v>16</v>
      </c>
      <c r="E35">
        <v>500</v>
      </c>
      <c r="F35" t="s">
        <v>13</v>
      </c>
    </row>
    <row r="36" spans="1:6" x14ac:dyDescent="0.3">
      <c r="A36" t="s">
        <v>60</v>
      </c>
      <c r="B36" t="s">
        <v>59</v>
      </c>
      <c r="C36" t="s">
        <v>11</v>
      </c>
      <c r="D36" t="s">
        <v>12</v>
      </c>
      <c r="E36">
        <v>990</v>
      </c>
      <c r="F36" t="s">
        <v>9</v>
      </c>
    </row>
    <row r="37" spans="1:6" x14ac:dyDescent="0.3">
      <c r="A37" t="s">
        <v>61</v>
      </c>
      <c r="B37" t="s">
        <v>59</v>
      </c>
      <c r="C37" t="s">
        <v>15</v>
      </c>
      <c r="D37" t="s">
        <v>8</v>
      </c>
      <c r="E37">
        <v>730</v>
      </c>
      <c r="F37" t="s">
        <v>9</v>
      </c>
    </row>
    <row r="38" spans="1:6" x14ac:dyDescent="0.3">
      <c r="A38" t="s">
        <v>62</v>
      </c>
      <c r="B38" t="s">
        <v>6</v>
      </c>
      <c r="C38" t="s">
        <v>7</v>
      </c>
      <c r="D38" t="s">
        <v>19</v>
      </c>
      <c r="E38">
        <v>500</v>
      </c>
      <c r="F38" t="s">
        <v>13</v>
      </c>
    </row>
    <row r="39" spans="1:6" x14ac:dyDescent="0.3">
      <c r="A39" t="s">
        <v>63</v>
      </c>
      <c r="B39" t="s">
        <v>18</v>
      </c>
      <c r="C39" t="s">
        <v>11</v>
      </c>
      <c r="D39" t="s">
        <v>8</v>
      </c>
      <c r="E39">
        <v>1010</v>
      </c>
      <c r="F39" t="s">
        <v>9</v>
      </c>
    </row>
    <row r="40" spans="1:6" x14ac:dyDescent="0.3">
      <c r="A40" t="s">
        <v>64</v>
      </c>
      <c r="B40" t="s">
        <v>23</v>
      </c>
      <c r="C40" t="s">
        <v>15</v>
      </c>
      <c r="D40" t="s">
        <v>12</v>
      </c>
      <c r="E40">
        <v>760</v>
      </c>
      <c r="F40" t="s">
        <v>9</v>
      </c>
    </row>
    <row r="41" spans="1:6" x14ac:dyDescent="0.3">
      <c r="A41" t="s">
        <v>65</v>
      </c>
      <c r="B41" t="s">
        <v>27</v>
      </c>
      <c r="C41" t="s">
        <v>7</v>
      </c>
      <c r="D41" t="s">
        <v>16</v>
      </c>
      <c r="E41">
        <v>500</v>
      </c>
      <c r="F41" t="s">
        <v>13</v>
      </c>
    </row>
    <row r="42" spans="1:6" x14ac:dyDescent="0.3">
      <c r="A42" t="s">
        <v>66</v>
      </c>
      <c r="B42" t="s">
        <v>31</v>
      </c>
      <c r="C42" t="s">
        <v>11</v>
      </c>
      <c r="D42" t="s">
        <v>8</v>
      </c>
      <c r="E42">
        <v>1040</v>
      </c>
      <c r="F42" t="s">
        <v>9</v>
      </c>
    </row>
    <row r="43" spans="1:6" x14ac:dyDescent="0.3">
      <c r="A43" t="s">
        <v>67</v>
      </c>
      <c r="B43" t="s">
        <v>35</v>
      </c>
      <c r="C43" t="s">
        <v>15</v>
      </c>
      <c r="D43" t="s">
        <v>19</v>
      </c>
      <c r="E43">
        <v>720</v>
      </c>
      <c r="F43" t="s">
        <v>9</v>
      </c>
    </row>
    <row r="44" spans="1:6" x14ac:dyDescent="0.3">
      <c r="A44" t="s">
        <v>68</v>
      </c>
      <c r="B44" t="s">
        <v>39</v>
      </c>
      <c r="C44" t="s">
        <v>7</v>
      </c>
      <c r="D44" t="s">
        <v>12</v>
      </c>
      <c r="E44">
        <v>500</v>
      </c>
      <c r="F44" t="s">
        <v>13</v>
      </c>
    </row>
    <row r="45" spans="1:6" x14ac:dyDescent="0.3">
      <c r="A45" t="s">
        <v>69</v>
      </c>
      <c r="B45" t="s">
        <v>43</v>
      </c>
      <c r="C45" t="s">
        <v>11</v>
      </c>
      <c r="D45" t="s">
        <v>8</v>
      </c>
      <c r="E45">
        <v>1090</v>
      </c>
      <c r="F45" t="s">
        <v>9</v>
      </c>
    </row>
    <row r="46" spans="1:6" x14ac:dyDescent="0.3">
      <c r="A46" t="s">
        <v>70</v>
      </c>
      <c r="B46" t="s">
        <v>47</v>
      </c>
      <c r="C46" t="s">
        <v>15</v>
      </c>
      <c r="D46" t="s">
        <v>16</v>
      </c>
      <c r="E46">
        <v>740</v>
      </c>
      <c r="F46" t="s">
        <v>9</v>
      </c>
    </row>
    <row r="47" spans="1:6" x14ac:dyDescent="0.3">
      <c r="A47" t="s">
        <v>71</v>
      </c>
      <c r="B47" t="s">
        <v>51</v>
      </c>
      <c r="C47" t="s">
        <v>7</v>
      </c>
      <c r="D47" t="s">
        <v>19</v>
      </c>
      <c r="E47">
        <v>500</v>
      </c>
      <c r="F47" t="s">
        <v>13</v>
      </c>
    </row>
    <row r="48" spans="1:6" x14ac:dyDescent="0.3">
      <c r="A48" t="s">
        <v>72</v>
      </c>
      <c r="B48" t="s">
        <v>55</v>
      </c>
      <c r="C48" t="s">
        <v>11</v>
      </c>
      <c r="D48" t="s">
        <v>12</v>
      </c>
      <c r="E48">
        <v>1000</v>
      </c>
      <c r="F48" t="s">
        <v>9</v>
      </c>
    </row>
    <row r="49" spans="1:6" x14ac:dyDescent="0.3">
      <c r="A49" t="s">
        <v>73</v>
      </c>
      <c r="B49" t="s">
        <v>59</v>
      </c>
      <c r="C49" t="s">
        <v>15</v>
      </c>
      <c r="D49" t="s">
        <v>8</v>
      </c>
      <c r="E49">
        <v>750</v>
      </c>
      <c r="F49" t="s">
        <v>9</v>
      </c>
    </row>
    <row r="50" spans="1:6" x14ac:dyDescent="0.3">
      <c r="A50" t="s">
        <v>74</v>
      </c>
      <c r="B50" t="s">
        <v>6</v>
      </c>
      <c r="C50" t="s">
        <v>7</v>
      </c>
      <c r="D50" t="s">
        <v>16</v>
      </c>
      <c r="E50">
        <v>500</v>
      </c>
      <c r="F50" t="s">
        <v>13</v>
      </c>
    </row>
    <row r="51" spans="1:6" x14ac:dyDescent="0.3">
      <c r="A51" t="s">
        <v>75</v>
      </c>
      <c r="B51" t="s">
        <v>18</v>
      </c>
      <c r="C51" t="s">
        <v>11</v>
      </c>
      <c r="D51" t="s">
        <v>8</v>
      </c>
      <c r="E51">
        <v>1100</v>
      </c>
      <c r="F51" t="s">
        <v>9</v>
      </c>
    </row>
    <row r="54" spans="1:6" x14ac:dyDescent="0.3">
      <c r="F54">
        <f>COUNTA(A2:A51)</f>
        <v>50</v>
      </c>
    </row>
    <row r="57" spans="1:6" x14ac:dyDescent="0.3">
      <c r="F57">
        <f>COUNTIF(F2:F51,"Churned")</f>
        <v>17</v>
      </c>
    </row>
    <row r="59" spans="1:6" x14ac:dyDescent="0.3">
      <c r="F59">
        <f>COUNTIF(F2:F51,"Active")</f>
        <v>33</v>
      </c>
    </row>
    <row r="62" spans="1:6" x14ac:dyDescent="0.3">
      <c r="F62" s="1">
        <f>F57/F54</f>
        <v>0.34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D6E57-906B-4104-BDD3-921DE381B556}">
  <dimension ref="A1:B6"/>
  <sheetViews>
    <sheetView workbookViewId="0">
      <selection activeCell="L14" sqref="L14"/>
    </sheetView>
  </sheetViews>
  <sheetFormatPr defaultRowHeight="14.4" x14ac:dyDescent="0.3"/>
  <cols>
    <col min="1" max="1" width="12.44140625" bestFit="1" customWidth="1"/>
    <col min="2" max="2" width="18.21875" bestFit="1" customWidth="1"/>
  </cols>
  <sheetData>
    <row r="1" spans="1:2" x14ac:dyDescent="0.3">
      <c r="A1" s="2" t="s">
        <v>4</v>
      </c>
      <c r="B1" t="s">
        <v>13</v>
      </c>
    </row>
    <row r="3" spans="1:2" x14ac:dyDescent="0.3">
      <c r="A3" s="2" t="s">
        <v>76</v>
      </c>
      <c r="B3" t="s">
        <v>78</v>
      </c>
    </row>
    <row r="4" spans="1:2" x14ac:dyDescent="0.3">
      <c r="A4" s="3" t="s">
        <v>7</v>
      </c>
      <c r="B4">
        <v>16</v>
      </c>
    </row>
    <row r="5" spans="1:2" x14ac:dyDescent="0.3">
      <c r="A5" s="3" t="s">
        <v>11</v>
      </c>
      <c r="B5">
        <v>1</v>
      </c>
    </row>
    <row r="6" spans="1:2" x14ac:dyDescent="0.3">
      <c r="A6" s="3" t="s">
        <v>77</v>
      </c>
      <c r="B6">
        <v>17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9A225-AB6C-4D66-8A55-220F3867186C}">
  <dimension ref="A1:B16"/>
  <sheetViews>
    <sheetView workbookViewId="0">
      <selection activeCell="M12" sqref="M12"/>
    </sheetView>
  </sheetViews>
  <sheetFormatPr defaultRowHeight="14.4" x14ac:dyDescent="0.3"/>
  <cols>
    <col min="1" max="1" width="12.44140625" bestFit="1" customWidth="1"/>
    <col min="2" max="2" width="18.21875" bestFit="1" customWidth="1"/>
  </cols>
  <sheetData>
    <row r="1" spans="1:2" x14ac:dyDescent="0.3">
      <c r="A1" s="2" t="s">
        <v>4</v>
      </c>
      <c r="B1" t="s">
        <v>13</v>
      </c>
    </row>
    <row r="3" spans="1:2" x14ac:dyDescent="0.3">
      <c r="A3" s="2" t="s">
        <v>76</v>
      </c>
      <c r="B3" t="s">
        <v>78</v>
      </c>
    </row>
    <row r="4" spans="1:2" x14ac:dyDescent="0.3">
      <c r="A4" s="3" t="s">
        <v>6</v>
      </c>
      <c r="B4">
        <v>3</v>
      </c>
    </row>
    <row r="5" spans="1:2" x14ac:dyDescent="0.3">
      <c r="A5" s="3" t="s">
        <v>18</v>
      </c>
      <c r="B5">
        <v>1</v>
      </c>
    </row>
    <row r="6" spans="1:2" x14ac:dyDescent="0.3">
      <c r="A6" s="3" t="s">
        <v>23</v>
      </c>
      <c r="B6">
        <v>1</v>
      </c>
    </row>
    <row r="7" spans="1:2" x14ac:dyDescent="0.3">
      <c r="A7" s="3" t="s">
        <v>27</v>
      </c>
      <c r="B7">
        <v>2</v>
      </c>
    </row>
    <row r="8" spans="1:2" x14ac:dyDescent="0.3">
      <c r="A8" s="3" t="s">
        <v>31</v>
      </c>
      <c r="B8">
        <v>1</v>
      </c>
    </row>
    <row r="9" spans="1:2" x14ac:dyDescent="0.3">
      <c r="A9" s="3" t="s">
        <v>35</v>
      </c>
      <c r="B9">
        <v>1</v>
      </c>
    </row>
    <row r="10" spans="1:2" x14ac:dyDescent="0.3">
      <c r="A10" s="3" t="s">
        <v>39</v>
      </c>
      <c r="B10">
        <v>2</v>
      </c>
    </row>
    <row r="11" spans="1:2" x14ac:dyDescent="0.3">
      <c r="A11" s="3" t="s">
        <v>43</v>
      </c>
      <c r="B11">
        <v>1</v>
      </c>
    </row>
    <row r="12" spans="1:2" x14ac:dyDescent="0.3">
      <c r="A12" s="3" t="s">
        <v>47</v>
      </c>
      <c r="B12">
        <v>1</v>
      </c>
    </row>
    <row r="13" spans="1:2" x14ac:dyDescent="0.3">
      <c r="A13" s="3" t="s">
        <v>51</v>
      </c>
      <c r="B13">
        <v>2</v>
      </c>
    </row>
    <row r="14" spans="1:2" x14ac:dyDescent="0.3">
      <c r="A14" s="3" t="s">
        <v>55</v>
      </c>
      <c r="B14">
        <v>1</v>
      </c>
    </row>
    <row r="15" spans="1:2" x14ac:dyDescent="0.3">
      <c r="A15" s="3" t="s">
        <v>59</v>
      </c>
      <c r="B15">
        <v>1</v>
      </c>
    </row>
    <row r="16" spans="1:2" x14ac:dyDescent="0.3">
      <c r="A16" s="3" t="s">
        <v>77</v>
      </c>
      <c r="B16">
        <v>17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ECB66-1A3D-4034-B160-85C9C77196A1}">
  <dimension ref="A1:B7"/>
  <sheetViews>
    <sheetView zoomScale="62" workbookViewId="0">
      <selection activeCell="N37" sqref="N37"/>
    </sheetView>
  </sheetViews>
  <sheetFormatPr defaultRowHeight="14.4" x14ac:dyDescent="0.3"/>
  <cols>
    <col min="1" max="1" width="12.44140625" bestFit="1" customWidth="1"/>
    <col min="2" max="2" width="18.21875" bestFit="1" customWidth="1"/>
  </cols>
  <sheetData>
    <row r="1" spans="1:2" x14ac:dyDescent="0.3">
      <c r="A1" s="2" t="s">
        <v>4</v>
      </c>
      <c r="B1" t="s">
        <v>13</v>
      </c>
    </row>
    <row r="3" spans="1:2" x14ac:dyDescent="0.3">
      <c r="A3" s="2" t="s">
        <v>76</v>
      </c>
      <c r="B3" t="s">
        <v>78</v>
      </c>
    </row>
    <row r="4" spans="1:2" x14ac:dyDescent="0.3">
      <c r="A4" s="3" t="s">
        <v>19</v>
      </c>
      <c r="B4">
        <v>7</v>
      </c>
    </row>
    <row r="5" spans="1:2" x14ac:dyDescent="0.3">
      <c r="A5" s="3" t="s">
        <v>12</v>
      </c>
      <c r="B5">
        <v>4</v>
      </c>
    </row>
    <row r="6" spans="1:2" x14ac:dyDescent="0.3">
      <c r="A6" s="3" t="s">
        <v>16</v>
      </c>
      <c r="B6">
        <v>6</v>
      </c>
    </row>
    <row r="7" spans="1:2" x14ac:dyDescent="0.3">
      <c r="A7" s="3" t="s">
        <v>77</v>
      </c>
      <c r="B7">
        <v>17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DB6A3-58CE-4E14-AD82-28C4957AADD7}">
  <dimension ref="A1:B16"/>
  <sheetViews>
    <sheetView workbookViewId="0">
      <selection activeCell="N25" sqref="N25"/>
    </sheetView>
  </sheetViews>
  <sheetFormatPr defaultRowHeight="14.4" x14ac:dyDescent="0.3"/>
  <cols>
    <col min="1" max="1" width="12.44140625" bestFit="1" customWidth="1"/>
    <col min="2" max="2" width="18.21875" bestFit="1" customWidth="1"/>
  </cols>
  <sheetData>
    <row r="1" spans="1:2" x14ac:dyDescent="0.3">
      <c r="A1" s="2" t="s">
        <v>4</v>
      </c>
      <c r="B1" t="s">
        <v>9</v>
      </c>
    </row>
    <row r="3" spans="1:2" x14ac:dyDescent="0.3">
      <c r="A3" s="2" t="s">
        <v>76</v>
      </c>
      <c r="B3" t="s">
        <v>78</v>
      </c>
    </row>
    <row r="4" spans="1:2" x14ac:dyDescent="0.3">
      <c r="A4" s="3" t="s">
        <v>6</v>
      </c>
      <c r="B4">
        <v>2</v>
      </c>
    </row>
    <row r="5" spans="1:2" x14ac:dyDescent="0.3">
      <c r="A5" s="3" t="s">
        <v>18</v>
      </c>
      <c r="B5">
        <v>4</v>
      </c>
    </row>
    <row r="6" spans="1:2" x14ac:dyDescent="0.3">
      <c r="A6" s="3" t="s">
        <v>23</v>
      </c>
      <c r="B6">
        <v>3</v>
      </c>
    </row>
    <row r="7" spans="1:2" x14ac:dyDescent="0.3">
      <c r="A7" s="3" t="s">
        <v>27</v>
      </c>
      <c r="B7">
        <v>2</v>
      </c>
    </row>
    <row r="8" spans="1:2" x14ac:dyDescent="0.3">
      <c r="A8" s="3" t="s">
        <v>31</v>
      </c>
      <c r="B8">
        <v>3</v>
      </c>
    </row>
    <row r="9" spans="1:2" x14ac:dyDescent="0.3">
      <c r="A9" s="3" t="s">
        <v>35</v>
      </c>
      <c r="B9">
        <v>3</v>
      </c>
    </row>
    <row r="10" spans="1:2" x14ac:dyDescent="0.3">
      <c r="A10" s="3" t="s">
        <v>39</v>
      </c>
      <c r="B10">
        <v>2</v>
      </c>
    </row>
    <row r="11" spans="1:2" x14ac:dyDescent="0.3">
      <c r="A11" s="3" t="s">
        <v>43</v>
      </c>
      <c r="B11">
        <v>3</v>
      </c>
    </row>
    <row r="12" spans="1:2" x14ac:dyDescent="0.3">
      <c r="A12" s="3" t="s">
        <v>47</v>
      </c>
      <c r="B12">
        <v>3</v>
      </c>
    </row>
    <row r="13" spans="1:2" x14ac:dyDescent="0.3">
      <c r="A13" s="3" t="s">
        <v>51</v>
      </c>
      <c r="B13">
        <v>2</v>
      </c>
    </row>
    <row r="14" spans="1:2" x14ac:dyDescent="0.3">
      <c r="A14" s="3" t="s">
        <v>55</v>
      </c>
      <c r="B14">
        <v>3</v>
      </c>
    </row>
    <row r="15" spans="1:2" x14ac:dyDescent="0.3">
      <c r="A15" s="3" t="s">
        <v>59</v>
      </c>
      <c r="B15">
        <v>3</v>
      </c>
    </row>
    <row r="16" spans="1:2" x14ac:dyDescent="0.3">
      <c r="A16" s="3" t="s">
        <v>77</v>
      </c>
      <c r="B16">
        <v>33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23468-60AA-45B7-8B13-E0BB3CD21E17}">
  <dimension ref="A1:B16"/>
  <sheetViews>
    <sheetView workbookViewId="0">
      <selection activeCell="L11" sqref="L11"/>
    </sheetView>
  </sheetViews>
  <sheetFormatPr defaultRowHeight="14.4" x14ac:dyDescent="0.3"/>
  <cols>
    <col min="1" max="1" width="12.44140625" bestFit="1" customWidth="1"/>
    <col min="2" max="2" width="20.44140625" bestFit="1" customWidth="1"/>
  </cols>
  <sheetData>
    <row r="1" spans="1:2" x14ac:dyDescent="0.3">
      <c r="A1" s="2" t="s">
        <v>4</v>
      </c>
      <c r="B1" t="s">
        <v>13</v>
      </c>
    </row>
    <row r="3" spans="1:2" x14ac:dyDescent="0.3">
      <c r="A3" s="2" t="s">
        <v>76</v>
      </c>
      <c r="B3" t="s">
        <v>79</v>
      </c>
    </row>
    <row r="4" spans="1:2" x14ac:dyDescent="0.3">
      <c r="A4" s="3" t="s">
        <v>6</v>
      </c>
      <c r="B4">
        <v>1900</v>
      </c>
    </row>
    <row r="5" spans="1:2" x14ac:dyDescent="0.3">
      <c r="A5" s="3" t="s">
        <v>18</v>
      </c>
      <c r="B5">
        <v>500</v>
      </c>
    </row>
    <row r="6" spans="1:2" x14ac:dyDescent="0.3">
      <c r="A6" s="3" t="s">
        <v>23</v>
      </c>
      <c r="B6">
        <v>500</v>
      </c>
    </row>
    <row r="7" spans="1:2" x14ac:dyDescent="0.3">
      <c r="A7" s="3" t="s">
        <v>27</v>
      </c>
      <c r="B7">
        <v>1000</v>
      </c>
    </row>
    <row r="8" spans="1:2" x14ac:dyDescent="0.3">
      <c r="A8" s="3" t="s">
        <v>31</v>
      </c>
      <c r="B8">
        <v>500</v>
      </c>
    </row>
    <row r="9" spans="1:2" x14ac:dyDescent="0.3">
      <c r="A9" s="3" t="s">
        <v>35</v>
      </c>
      <c r="B9">
        <v>500</v>
      </c>
    </row>
    <row r="10" spans="1:2" x14ac:dyDescent="0.3">
      <c r="A10" s="3" t="s">
        <v>39</v>
      </c>
      <c r="B10">
        <v>1000</v>
      </c>
    </row>
    <row r="11" spans="1:2" x14ac:dyDescent="0.3">
      <c r="A11" s="3" t="s">
        <v>43</v>
      </c>
      <c r="B11">
        <v>500</v>
      </c>
    </row>
    <row r="12" spans="1:2" x14ac:dyDescent="0.3">
      <c r="A12" s="3" t="s">
        <v>47</v>
      </c>
      <c r="B12">
        <v>500</v>
      </c>
    </row>
    <row r="13" spans="1:2" x14ac:dyDescent="0.3">
      <c r="A13" s="3" t="s">
        <v>51</v>
      </c>
      <c r="B13">
        <v>1000</v>
      </c>
    </row>
    <row r="14" spans="1:2" x14ac:dyDescent="0.3">
      <c r="A14" s="3" t="s">
        <v>55</v>
      </c>
      <c r="B14">
        <v>500</v>
      </c>
    </row>
    <row r="15" spans="1:2" x14ac:dyDescent="0.3">
      <c r="A15" s="3" t="s">
        <v>59</v>
      </c>
      <c r="B15">
        <v>500</v>
      </c>
    </row>
    <row r="16" spans="1:2" x14ac:dyDescent="0.3">
      <c r="A16" s="3" t="s">
        <v>77</v>
      </c>
      <c r="B16">
        <v>8900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AEA31-382F-4D77-914A-65F4D83FE741}">
  <dimension ref="A3:B7"/>
  <sheetViews>
    <sheetView workbookViewId="0">
      <selection activeCell="N15" sqref="N15"/>
    </sheetView>
  </sheetViews>
  <sheetFormatPr defaultRowHeight="14.4" x14ac:dyDescent="0.3"/>
  <cols>
    <col min="1" max="1" width="12.44140625" bestFit="1" customWidth="1"/>
    <col min="2" max="2" width="20.44140625" bestFit="1" customWidth="1"/>
  </cols>
  <sheetData>
    <row r="3" spans="1:2" x14ac:dyDescent="0.3">
      <c r="A3" s="2" t="s">
        <v>76</v>
      </c>
      <c r="B3" t="s">
        <v>79</v>
      </c>
    </row>
    <row r="4" spans="1:2" x14ac:dyDescent="0.3">
      <c r="A4" s="3" t="s">
        <v>7</v>
      </c>
      <c r="B4">
        <v>8500</v>
      </c>
    </row>
    <row r="5" spans="1:2" x14ac:dyDescent="0.3">
      <c r="A5" s="3" t="s">
        <v>11</v>
      </c>
      <c r="B5">
        <v>17300</v>
      </c>
    </row>
    <row r="6" spans="1:2" x14ac:dyDescent="0.3">
      <c r="A6" s="3" t="s">
        <v>15</v>
      </c>
      <c r="B6">
        <v>11730</v>
      </c>
    </row>
    <row r="7" spans="1:2" x14ac:dyDescent="0.3">
      <c r="A7" s="3" t="s">
        <v>77</v>
      </c>
      <c r="B7">
        <v>37530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A86B4-EB40-47B2-A779-B5590F964E18}">
  <dimension ref="A3:B7"/>
  <sheetViews>
    <sheetView workbookViewId="0">
      <selection activeCell="K21" sqref="K21"/>
    </sheetView>
  </sheetViews>
  <sheetFormatPr defaultRowHeight="14.4" x14ac:dyDescent="0.3"/>
  <cols>
    <col min="1" max="1" width="12.44140625" bestFit="1" customWidth="1"/>
    <col min="2" max="2" width="18.21875" bestFit="1" customWidth="1"/>
  </cols>
  <sheetData>
    <row r="3" spans="1:2" x14ac:dyDescent="0.3">
      <c r="A3" s="2" t="s">
        <v>76</v>
      </c>
      <c r="B3" t="s">
        <v>78</v>
      </c>
    </row>
    <row r="4" spans="1:2" x14ac:dyDescent="0.3">
      <c r="A4" s="3" t="s">
        <v>7</v>
      </c>
      <c r="B4">
        <v>17</v>
      </c>
    </row>
    <row r="5" spans="1:2" x14ac:dyDescent="0.3">
      <c r="A5" s="3" t="s">
        <v>11</v>
      </c>
      <c r="B5">
        <v>17</v>
      </c>
    </row>
    <row r="6" spans="1:2" x14ac:dyDescent="0.3">
      <c r="A6" s="3" t="s">
        <v>15</v>
      </c>
      <c r="B6">
        <v>16</v>
      </c>
    </row>
    <row r="7" spans="1:2" x14ac:dyDescent="0.3">
      <c r="A7" s="3" t="s">
        <v>77</v>
      </c>
      <c r="B7">
        <v>50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03F24-56AF-4D71-8B31-D49F3C7DFC8B}">
  <dimension ref="A3:B6"/>
  <sheetViews>
    <sheetView workbookViewId="0">
      <selection activeCell="N18" sqref="N18"/>
    </sheetView>
  </sheetViews>
  <sheetFormatPr defaultRowHeight="14.4" x14ac:dyDescent="0.3"/>
  <cols>
    <col min="1" max="1" width="12.44140625" bestFit="1" customWidth="1"/>
    <col min="2" max="2" width="18.21875" bestFit="1" customWidth="1"/>
  </cols>
  <sheetData>
    <row r="3" spans="1:2" x14ac:dyDescent="0.3">
      <c r="A3" s="2" t="s">
        <v>76</v>
      </c>
      <c r="B3" t="s">
        <v>78</v>
      </c>
    </row>
    <row r="4" spans="1:2" x14ac:dyDescent="0.3">
      <c r="A4" s="3" t="s">
        <v>9</v>
      </c>
      <c r="B4">
        <v>33</v>
      </c>
    </row>
    <row r="5" spans="1:2" x14ac:dyDescent="0.3">
      <c r="A5" s="3" t="s">
        <v>13</v>
      </c>
      <c r="B5">
        <v>17</v>
      </c>
    </row>
    <row r="6" spans="1:2" x14ac:dyDescent="0.3">
      <c r="A6" s="3" t="s">
        <v>77</v>
      </c>
      <c r="B6">
        <v>50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Churn_Dashboard</vt:lpstr>
      <vt:lpstr>Customer_Data</vt:lpstr>
      <vt:lpstr>Churn_by_Plan</vt:lpstr>
      <vt:lpstr>Monthly_churn_Trend</vt:lpstr>
      <vt:lpstr>Churn_by_Payment</vt:lpstr>
      <vt:lpstr>Active_customers_trend</vt:lpstr>
      <vt:lpstr>Revenue_lost</vt:lpstr>
      <vt:lpstr>Revenue_by_Subscription_Plan</vt:lpstr>
      <vt:lpstr>Customer_Distribution_by_Plan</vt:lpstr>
      <vt:lpstr>Total_Customer_Status_Overview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pavatharini 98420</dc:creator>
  <cp:lastModifiedBy>pavatharini 98420</cp:lastModifiedBy>
  <dcterms:created xsi:type="dcterms:W3CDTF">2026-03-02T16:40:33Z</dcterms:created>
  <dcterms:modified xsi:type="dcterms:W3CDTF">2026-03-04T15:49:42Z</dcterms:modified>
</cp:coreProperties>
</file>